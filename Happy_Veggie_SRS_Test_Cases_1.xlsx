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Functional Test Cases" sheetId="3" state="visible" r:id="rId5"/>
    <sheet name="Non-Functional Test Cases" sheetId="4" state="visible" r:id="rId6"/>
    <sheet name="External Interface Test Cas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<sst xmlns="http://schemas.openxmlformats.org/spreadsheetml/2006/main" count="1678" uniqueCount="970">
  <si>
    <t xml:space="preserve">HAPPY VEGGIE — SRS-Derived Test Case Suite</t>
  </si>
  <si>
    <t xml:space="preserve">Test cases generated from HAPPY-VEGGIE-SRS.md (Production-Ready v1.3, 3 Sept 2026) — Round 1 executed 5 Sept 2026</t>
  </si>
  <si>
    <t xml:space="preserve">Source document</t>
  </si>
  <si>
    <t xml:space="preserve">HAPPY-VEGGIE-SRS.md — github.com/Arsal0336/happy-veggies/tree/main (repo root), cross-checked against docs/ and HAPPY-VEGGIE-DEV-SPEC.md</t>
  </si>
  <si>
    <t xml:space="preserve">Scope</t>
  </si>
  <si>
    <t xml:space="preserve">Every Functional Requirement (FR), Non-Functional Requirement (NFR), and External Interface Requirement (EIR) in SRS v1.3 has at least one corresponding test case (closely related sub-requirements are grouped into a single test case where they share one observable behavior).</t>
  </si>
  <si>
    <t xml:space="preserve">Sheets</t>
  </si>
  <si>
    <t xml:space="preserve">'Functional Test Cases' (FR-xxx, organized by SRS module 3.2.1–3.2.19) · 'Non-Functional Test Cases' (NFR-xxx) · 'External Interface Test Cases' (EIR-xxx) · 'Summary' (coverage dashboard).</t>
  </si>
  <si>
    <t xml:space="preserve">Columns</t>
  </si>
  <si>
    <t xml:space="preserve">Test Case ID · Module · Req ID(s) — traces to the SRS requirement(s) exercised · Priority (Must/Should/Could, per SRS) · Phase (P0 = MVP, P1 = production-complete, P2 = enhanced) · Test Case Title · Preconditions · Test Steps · Expected Result · Test Type · Status · Defect Ref · Actual Result / Retest Notes.</t>
  </si>
  <si>
    <t xml:space="preserve">Status column — Round 1 (5 Sept 2026)</t>
  </si>
  <si>
    <t xml:space="preserve">~55 rows were actually executed against the live build at hv.vtoxi.com and are marked Pass / Fail / Blocked, each with a note in the last column and, where relevant, a Defect Ref (H-1/H-2/H-3, M-1..M-6, L-1..L-3) pointing at the matching finding in Happy_Veggie_QA_Report.html. Every other row is still 'Not Run' — it genuinely wasn't exercised this round, not assumed passing.</t>
  </si>
  <si>
    <t xml:space="preserve">Retest workflow after a fix ships</t>
  </si>
  <si>
    <t xml:space="preserve">1) Filter the Status column for 'Fail' or 'Blocked'. 2) Filter Defect Ref for the ID that was fixed (e.g. 'H-1') to find every row it affects. 3) Re-run those steps against the fixed build. 4) Flip Status to 'Pass' (or 'Fail' again if it's still broken) and append a dated line to the retest-notes cell rather than erasing the Round 1 evidence — e.g. '[Retest 12 Sept: Pass — edit/delete now persist]'.</t>
  </si>
  <si>
    <t xml:space="preserve">Priority color key</t>
  </si>
  <si>
    <t xml:space="preserve">Rows are shaded in the Priority column: pink = Must, yellow = Should, blue = Could.</t>
  </si>
  <si>
    <t xml:space="preserve">Status color key</t>
  </si>
  <si>
    <t xml:space="preserve">The Status cell itself is shaded: green = Pass, red = Fail, amber = Blocked, white = Not Run.</t>
  </si>
  <si>
    <t xml:space="preserve">How to use</t>
  </si>
  <si>
    <t xml:space="preserve">Filter by Module, Priority, Phase, Status, or Defect Ref using the table's AutoFilter dropdowns in the header row of each sheet. P0 Must test cases are the minimum bar for the first production release per SRS §6.2.</t>
  </si>
  <si>
    <t xml:space="preserve">Not yet covered by this SRS (out of scope per §1.2.3)</t>
  </si>
  <si>
    <t xml:space="preserve">Marketplace/e-commerce/payments, IoT/sensor hardware integration, offline-first operation, languages beyond Urdu/English, and any legal guarantee of yield/price/profitability — no test cases are included for these.</t>
  </si>
  <si>
    <t xml:space="preserve">Test case counts by sheet</t>
  </si>
  <si>
    <t xml:space="preserve">Sheet</t>
  </si>
  <si>
    <t xml:space="preserve">Test cases</t>
  </si>
  <si>
    <t xml:space="preserve">Functional Test Cases</t>
  </si>
  <si>
    <t xml:space="preserve">Non-Functional Test Cases</t>
  </si>
  <si>
    <t xml:space="preserve">External Interface Test Cases</t>
  </si>
  <si>
    <t xml:space="preserve">Total</t>
  </si>
  <si>
    <t xml:space="preserve">Coverage Summary</t>
  </si>
  <si>
    <t xml:space="preserve">Priority</t>
  </si>
  <si>
    <t xml:space="preserve">Functional</t>
  </si>
  <si>
    <t xml:space="preserve">Non-Functional</t>
  </si>
  <si>
    <t xml:space="preserve">External Interface</t>
  </si>
  <si>
    <t xml:space="preserve">Must</t>
  </si>
  <si>
    <t xml:space="preserve">Should</t>
  </si>
  <si>
    <t xml:space="preserve">Could</t>
  </si>
  <si>
    <t xml:space="preserve">Status breakdown (all sheets)</t>
  </si>
  <si>
    <t xml:space="preserve">Status</t>
  </si>
  <si>
    <t xml:space="preserve">Count</t>
  </si>
  <si>
    <t xml:space="preserve">Pass</t>
  </si>
  <si>
    <t xml:space="preserve">Fail</t>
  </si>
  <si>
    <t xml:space="preserve">Blocked</t>
  </si>
  <si>
    <t xml:space="preserve">Not Run</t>
  </si>
  <si>
    <t xml:space="preserve">HAPPY VEGGIE — Functional Test Cases</t>
  </si>
  <si>
    <t xml:space="preserve">Derived from HAPPY-VEGGIE-SRS.md v1.3 (github.com/Arsal0336/happy-veggies)</t>
  </si>
  <si>
    <t xml:space="preserve">Test Case ID</t>
  </si>
  <si>
    <t xml:space="preserve">Module</t>
  </si>
  <si>
    <t xml:space="preserve">Req ID(s)</t>
  </si>
  <si>
    <t xml:space="preserve">Phase</t>
  </si>
  <si>
    <t xml:space="preserve">Test Case Title</t>
  </si>
  <si>
    <t xml:space="preserve">Preconditions</t>
  </si>
  <si>
    <t xml:space="preserve">Test Steps</t>
  </si>
  <si>
    <t xml:space="preserve">Expected Result</t>
  </si>
  <si>
    <t xml:space="preserve">Test Type</t>
  </si>
  <si>
    <t xml:space="preserve">Defect Ref</t>
  </si>
  <si>
    <t xml:space="preserve">Actual Result / Retest Notes (5 Sept 2026 run)</t>
  </si>
  <si>
    <t xml:space="preserve">TC-FR-001</t>
  </si>
  <si>
    <t xml:space="preserve">Auth &amp; Profile</t>
  </si>
  <si>
    <t xml:space="preserve">FR-001</t>
  </si>
  <si>
    <t xml:space="preserve">P0</t>
  </si>
  <si>
    <t xml:space="preserve">Farmer login via phone + OTP</t>
  </si>
  <si>
    <t xml:space="preserve">Farmer has a valid phone number; app installed/open.</t>
  </si>
  <si>
    <t xml:space="preserve">1. Open app, select 'Sign in with phone number'.
2. Enter a valid E.164 phone number.
3. Tap Send OTP.
4. Enter the received OTP.
5. Tap Verify.</t>
  </si>
  <si>
    <t xml:space="preserve">OTP is sent, verification succeeds, and the farmer is authenticated and routed into the app.</t>
  </si>
  <si>
    <t xml:space="preserve">Confirmed working — OTP sign-in (mock mode) completed successfully.</t>
  </si>
  <si>
    <t xml:space="preserve">TC-FR-002</t>
  </si>
  <si>
    <t xml:space="preserve">Login rejected with invalid OTP</t>
  </si>
  <si>
    <t xml:space="preserve">Farmer has requested an OTP for a valid phone number.</t>
  </si>
  <si>
    <t xml:space="preserve">1. Enter the phone number and request OTP.
2. Enter an incorrect 4-digit code.
3. Tap Verify.</t>
  </si>
  <si>
    <t xml:space="preserve">Verification fails with a clear localized error; farmer is not authenticated and may retry.</t>
  </si>
  <si>
    <t xml:space="preserve">TC-FR-003</t>
  </si>
  <si>
    <t xml:space="preserve">FR-002</t>
  </si>
  <si>
    <t xml:space="preserve">Owner-scoped data access enforced</t>
  </si>
  <si>
    <t xml:space="preserve">Two farmer accounts (A and B) exist, each with at least one farm.</t>
  </si>
  <si>
    <t xml:space="preserve">1. Authenticate as Farmer A.
2. Attempt to fetch/view Farmer B's farm, production area, field, twin, plan, or assistant thread by ID (via UI navigation or direct API call).</t>
  </si>
  <si>
    <t xml:space="preserve">Access is denied/404 for Farmer A; only an authorized admin can view another farmer's data.</t>
  </si>
  <si>
    <t xml:space="preserve">TC-FR-004</t>
  </si>
  <si>
    <t xml:space="preserve">FR-017</t>
  </si>
  <si>
    <t xml:space="preserve">Unified entry routes new vs returning farmer</t>
  </si>
  <si>
    <t xml:space="preserve">A phone number not yet registered, and a second phone number already registered.</t>
  </si>
  <si>
    <t xml:space="preserve">1. Complete OTP verification with the unregistered number.
2. Observe routing.
3. Repeat OTP flow with the registered number.</t>
  </si>
  <si>
    <t xml:space="preserve">Unregistered number is routed to first-time profile capture (name/language); registered number is routed directly to the farms dashboard.</t>
  </si>
  <si>
    <t xml:space="preserve">New-vs-returning-farmer routing confirmed correct.</t>
  </si>
  <si>
    <t xml:space="preserve">TC-FR-005</t>
  </si>
  <si>
    <t xml:space="preserve">FR-018</t>
  </si>
  <si>
    <t xml:space="preserve">First-time profile capture (name + language)</t>
  </si>
  <si>
    <t xml:space="preserve">Farmer has just completed OTP verification for the first time.</t>
  </si>
  <si>
    <t xml:space="preserve">1. On the first-time profile screen, enter a name.
2. Select a preferred language (English or Urdu).
3. Submit.</t>
  </si>
  <si>
    <t xml:space="preserve">Name and language are saved to the farmer profile and used for all subsequent localized content.</t>
  </si>
  <si>
    <t xml:space="preserve">TC-FR-006</t>
  </si>
  <si>
    <t xml:space="preserve">FR-044</t>
  </si>
  <si>
    <t xml:space="preserve">Session refresh and revocation</t>
  </si>
  <si>
    <t xml:space="preserve">Farmer is logged in with an active session/token.</t>
  </si>
  <si>
    <t xml:space="preserve">1. Let the access token approach expiry and make an authenticated request.
2. Confirm silent refresh occurs.
3. Log out (or revoke session) from Settings.
4. Attempt to use the old token.</t>
  </si>
  <si>
    <t xml:space="preserve">Token refresh keeps the session alive transparently; after logout/revocation the old token is rejected on subsequent calls.</t>
  </si>
  <si>
    <t xml:space="preserve">M-5</t>
  </si>
  <si>
    <t xml:space="preserve">Logout succeeds server-side (session cleared — next navigation redirects to /auth/phone) but Settings gives no feedback and never redirects; looks like the click did nothing. See M-5.</t>
  </si>
  <si>
    <t xml:space="preserve">TC-FR-007</t>
  </si>
  <si>
    <t xml:space="preserve">Farm Management</t>
  </si>
  <si>
    <t xml:space="preserve">FR-045</t>
  </si>
  <si>
    <t xml:space="preserve">Create, view, update, soft-delete a farm</t>
  </si>
  <si>
    <t xml:space="preserve">Authenticated farmer, no farms yet.</t>
  </si>
  <si>
    <t xml:space="preserve">1. Create a new farm with required fields.
2. View it in 'My farms'.
3. Edit its name/location.
4. Delete the farm.</t>
  </si>
  <si>
    <t xml:space="preserve">Farm is created and listed; edits persist; delete performs a soft-delete (farm disappears from the active list but is not physically removed from the database).</t>
  </si>
  <si>
    <t xml:space="preserve">H-1</t>
  </si>
  <si>
    <t xml:space="preserve">Create (via wizard) works. Edit-name save does not persist ("(unnamed)" remains); Delete removes nothing from the Farms list. See H-1 steps 5-6.</t>
  </si>
  <si>
    <t xml:space="preserve">TC-FR-008</t>
  </si>
  <si>
    <t xml:space="preserve">FR-046</t>
  </si>
  <si>
    <t xml:space="preserve">Farm captures location, area, region, display name</t>
  </si>
  <si>
    <t xml:space="preserve">Authenticated farmer creating a farm.</t>
  </si>
  <si>
    <t xml:space="preserve">1. Enter latitude/longitude (or use GPS).
2. Enter total area and unit.
3. Confirm/adjust suggested region.
4. Enter an optional display name.
5. Save.</t>
  </si>
  <si>
    <t xml:space="preserve">All four attributes are stored and shown back correctly on the farm detail/dashboard view.</t>
  </si>
  <si>
    <t xml:space="preserve">All four attributes captured and displayed correctly at creation.</t>
  </si>
  <si>
    <t xml:space="preserve">TC-FR-009</t>
  </si>
  <si>
    <t xml:space="preserve">FR-019</t>
  </si>
  <si>
    <t xml:space="preserve">Area entered in acre/kanal/marla stored canonically in acres</t>
  </si>
  <si>
    <t xml:space="preserve">Authenticated farmer creating or editing a farm.</t>
  </si>
  <si>
    <t xml:space="preserve">1. Enter total area as '2 kanal'.
2. Save.
3. Re-open the farm and switch display unit to acres, then to marla.</t>
  </si>
  <si>
    <t xml:space="preserve">Stored canonical value is in acres (2 kanal ≈ 0.25 acres); displayed value converts correctly to whichever unit is selected, with no drift after repeated conversions.</t>
  </si>
  <si>
    <t xml:space="preserve">L-1</t>
  </si>
  <si>
    <t xml:space="preserve">Marla is missing from the setup wizard's unit dropdown, and 'acre'/'acres' are listed twice (Crop Zone form has the correct list). See L-1.</t>
  </si>
  <si>
    <t xml:space="preserve">TC-FR-010</t>
  </si>
  <si>
    <t xml:space="preserve">FR-020</t>
  </si>
  <si>
    <t xml:space="preserve">Region suggested from location, confirmable/changeable</t>
  </si>
  <si>
    <t xml:space="preserve">Authenticated farmer entering farm location via GPS or manual lat/long.</t>
  </si>
  <si>
    <t xml:space="preserve">1. Provide a location known to map to 'Islamabad' region.
2. Observe the suggested region.
3. Change it to a different region and save.</t>
  </si>
  <si>
    <t xml:space="preserve">Region is auto-suggested from coordinates; farmer's manual override is respected and persisted.</t>
  </si>
  <si>
    <t xml:space="preserve">L-2</t>
  </si>
  <si>
    <t xml:space="preserve">Same coordinates produced 'Punjab' for a new farm vs 'Islamabad' for the pre-seeded demo farm. See L-2.</t>
  </si>
  <si>
    <t xml:space="preserve">TC-FR-011</t>
  </si>
  <si>
    <t xml:space="preserve">FR-003</t>
  </si>
  <si>
    <t xml:space="preserve">GPS auto-detects and stores lat/long</t>
  </si>
  <si>
    <t xml:space="preserve">Authenticated farmer on a device with location services enabled.</t>
  </si>
  <si>
    <t xml:space="preserve">1. Start farm creation.
2. Grant location permission when prompted.
3. Observe latitude/longitude auto-populate.</t>
  </si>
  <si>
    <t xml:space="preserve">Coordinates are captured automatically and stored with the farm record.</t>
  </si>
  <si>
    <t xml:space="preserve">TC-FR-012</t>
  </si>
  <si>
    <t xml:space="preserve">FR-004</t>
  </si>
  <si>
    <t xml:space="preserve">Manual location entry when GPS unavailable</t>
  </si>
  <si>
    <t xml:space="preserve">Location services denied or unavailable.</t>
  </si>
  <si>
    <t xml:space="preserve">1. Deny/disable GPS.
2. Start farm creation.
3. Use the manual location entry option (address/map pin/lat-long fields).</t>
  </si>
  <si>
    <t xml:space="preserve">Farmer can still supply a location manually and proceed with farm creation.</t>
  </si>
  <si>
    <t xml:space="preserve">TC-FR-013</t>
  </si>
  <si>
    <t xml:space="preserve">FR-109, FR-111</t>
  </si>
  <si>
    <t xml:space="preserve">Production Area as first-class child; default Open Field for legacy flow</t>
  </si>
  <si>
    <t xml:space="preserve">Authenticated farmer creating a farm without explicitly choosing a production-area type.</t>
  </si>
  <si>
    <t xml:space="preserve">1. Create a farm and add a crop zone/field without selecting a production area type.
2. Inspect the resulting farm structure.</t>
  </si>
  <si>
    <t xml:space="preserve">A default 'Open Field' production area is created automatically and the field attaches to it; farm supports zero or more production areas.</t>
  </si>
  <si>
    <t xml:space="preserve">Add area / Add zone both fail silently — default-area behavior can't be verified. See H-1 steps 1 &amp; 3.</t>
  </si>
  <si>
    <t xml:space="preserve">TC-FR-014</t>
  </si>
  <si>
    <t xml:space="preserve">FR-110</t>
  </si>
  <si>
    <t xml:space="preserve">Production area type catalog is extensible</t>
  </si>
  <si>
    <t xml:space="preserve">Admin access to the production area type catalog.</t>
  </si>
  <si>
    <t xml:space="preserve">1. As admin, view existing production area types (open_field, shed, greenhouse, tunnel_polyhouse, experimental, other_protected).
2. Add a new custom type.
3. As a farmer, create a production area using the new type.</t>
  </si>
  <si>
    <t xml:space="preserve">Core types are available out of the box; a new type can be added via catalog/admin configuration without a code change, and is selectable when creating a production area.</t>
  </si>
  <si>
    <t xml:space="preserve">TC-FR-015</t>
  </si>
  <si>
    <t xml:space="preserve">FR-047, FR-112, FR-113</t>
  </si>
  <si>
    <t xml:space="preserve">Farm with multiple production areas, multiple crops, multiple environments concurrently</t>
  </si>
  <si>
    <t xml:space="preserve">Authenticated farmer with a farm of at least 10 acres.</t>
  </si>
  <si>
    <t xml:space="preserve">1. Add an Open Field production area with two crop zones (different crops).
2. Add a Shed production area with one crop zone.
3. Add an Experimental production area with one crop zone.
4. View the farm structure.</t>
  </si>
  <si>
    <t xml:space="preserve">The farm simultaneously contains multiple production areas of different environment types, each with its own crop zone(s), and multiple distinct crops are represented across the farm at once.</t>
  </si>
  <si>
    <t xml:space="preserve">Add area / Add zone both fail silently — no way to give a farm a second production area or crop zone. See H-1.</t>
  </si>
  <si>
    <t xml:space="preserve">TC-FR-016</t>
  </si>
  <si>
    <t xml:space="preserve">FR-048</t>
  </si>
  <si>
    <t xml:space="preserve">Field/crop zone captures required attributes</t>
  </si>
  <si>
    <t xml:space="preserve">A production area exists on a farm.</t>
  </si>
  <si>
    <t xml:space="preserve">1. Add a field/crop zone specifying name, area, crop, optional seed variety, planting date, growth stage, expected yield.
2. Save and reopen the field.</t>
  </si>
  <si>
    <t xml:space="preserve">All entered attributes are persisted and displayed, and the field correctly references its parent production area.</t>
  </si>
  <si>
    <t xml:space="preserve">Add-zone form resets to blank on submit; nothing is created. See H-1 step 3.</t>
  </si>
  <si>
    <t xml:space="preserve">TC-FR-017</t>
  </si>
  <si>
    <t xml:space="preserve">FR-049, FR-114</t>
  </si>
  <si>
    <t xml:space="preserve">Land allocation validated against farm total; mixed units supported</t>
  </si>
  <si>
    <t xml:space="preserve">A farm with a known total open-field area (e.g., 5 acres) and one shed production area measured in sq ft.</t>
  </si>
  <si>
    <t xml:space="preserve">1. Attempt to allocate open-field crop zones totalling more than 5 acres (beyond configured tolerance).
2. Attempt to allocate a shed crop zone in sq ft.</t>
  </si>
  <si>
    <t xml:space="preserve">Over-allocation of open-field/experimental land is rejected or flagged per tolerance; the shed's sq ft allocation is validated independently against its own production-area capacity and does not corrupt open-field accounting.</t>
  </si>
  <si>
    <t xml:space="preserve">No crop zone can be created to test over-allocation against. See H-1.</t>
  </si>
  <si>
    <t xml:space="preserve">TC-FR-018</t>
  </si>
  <si>
    <t xml:space="preserve">FR-050</t>
  </si>
  <si>
    <t xml:space="preserve">P1</t>
  </si>
  <si>
    <t xml:space="preserve">Farm declares one or more water sources with irrigation attributes</t>
  </si>
  <si>
    <t xml:space="preserve">Authenticated farmer editing a farm.</t>
  </si>
  <si>
    <t xml:space="preserve">1. Add a tube well water source with capacity/reliability/irrigation method.
2. Add a second water source (e.g., canal).
3. Save.</t>
  </si>
  <si>
    <t xml:space="preserve">Both water sources are stored against the farm and available to Water Intelligence and twin views.</t>
  </si>
  <si>
    <t xml:space="preserve">Add water source form resets to blank on submit; list still reads 'No … yet'. See H-1 step 2.</t>
  </si>
  <si>
    <t xml:space="preserve">TC-FR-019</t>
  </si>
  <si>
    <t xml:space="preserve">FR-006, FR-021</t>
  </si>
  <si>
    <t xml:space="preserve">Guided setup wizard tolerates unknowns and still produces a plan</t>
  </si>
  <si>
    <t xml:space="preserve">A new farmer with unknown soil type, no budget figure, and no specific crop preference.</t>
  </si>
  <si>
    <t xml:space="preserve">1. Start the new-farmer guided setup wizard.
2. Leave soil as 'unknown', budget blank, and choose 'help me choose' for crop.
3. Complete the wizard.</t>
  </si>
  <si>
    <t xml:space="preserve">Wizard completes without requiring the omitted fields and a plan/recommendation is still generated.</t>
  </si>
  <si>
    <t xml:space="preserve">M-4</t>
  </si>
  <si>
    <t xml:space="preserve">Wizard completes with soil=unknown, budget blank, crop='let AI suggest', and does generate a plan. Caveat: the water-source and first-crop answers shown on the review step are silently dropped and never persisted to the created farm. See M-4.</t>
  </si>
  <si>
    <t xml:space="preserve">TC-FR-020</t>
  </si>
  <si>
    <t xml:space="preserve">FR-005</t>
  </si>
  <si>
    <t xml:space="preserve">Preferred crop captured at farm/area/field level</t>
  </si>
  <si>
    <t xml:space="preserve">1. Set a preferred crop at the farm level.
2. Set a different preferred crop on a specific production area.
3. Set a preferred crop on an individual field.</t>
  </si>
  <si>
    <t xml:space="preserve">Each level accepts and stores its own preferred-crop value independently, applied as applicable to recommendations.</t>
  </si>
  <si>
    <t xml:space="preserve">Area/field-level preferred crop can't be set — creating an area/field fails. See H-1.</t>
  </si>
  <si>
    <t xml:space="preserve">TC-FR-021</t>
  </si>
  <si>
    <t xml:space="preserve">Digital Twin</t>
  </si>
  <si>
    <t xml:space="preserve">FR-051, FR-115</t>
  </si>
  <si>
    <t xml:space="preserve">Twin maintains independent state per production area and aggregates at farm level</t>
  </si>
  <si>
    <t xml:space="preserve">A farm with an Open Field and a Shed production area, each with crop zones.</t>
  </si>
  <si>
    <t xml:space="preserve">1. Change a crop/attribute in the Shed production area only.
2. View the Shed twin state, then the farm-level twin summary.</t>
  </si>
  <si>
    <t xml:space="preserve">The Shed's twin state reflects the change independently; the farm-level summary aggregates data across all production areas including the change.</t>
  </si>
  <si>
    <t xml:space="preserve">Only one (default) production area could ever be created — no second area to compare independent state against.</t>
  </si>
  <si>
    <t xml:space="preserve">TC-FR-022</t>
  </si>
  <si>
    <t xml:space="preserve">FR-052, FR-116</t>
  </si>
  <si>
    <t xml:space="preserve">P0/P1</t>
  </si>
  <si>
    <t xml:space="preserve">Twin includes full ecosystem state</t>
  </si>
  <si>
    <t xml:space="preserve">A farm with production areas, water sources, and at least one activity logged.</t>
  </si>
  <si>
    <t xml:space="preserve">1. Open the farm's Digital Twin view.</t>
  </si>
  <si>
    <t xml:space="preserve">Twin displays location, total area, production areas, soil profile (with provenance), water sources, irrigation, weather snapshot, fields/crops, activity summary, economic summary when available, and a sustainability/Green Farm summary placeholder or value.</t>
  </si>
  <si>
    <t xml:space="preserve">H-1, M-1</t>
  </si>
  <si>
    <t xml:space="preserve">Soil and water sections are permanently empty (forms don't persist, H-1); the weather tile also shows a raw status string instead of a value (M-1).</t>
  </si>
  <si>
    <t xml:space="preserve">TC-FR-023</t>
  </si>
  <si>
    <t xml:space="preserve">FR-053</t>
  </si>
  <si>
    <t xml:space="preserve">Scheduled and on-demand twin refresh with status</t>
  </si>
  <si>
    <t xml:space="preserve">A farm with weather/soil providers configured.</t>
  </si>
  <si>
    <t xml:space="preserve">1. Note current 'last_refreshed_at' timestamp.
2. Wait for the scheduled refresh interval, or trigger a manual refresh.
3. Re-check the twin.</t>
  </si>
  <si>
    <t xml:space="preserve">'last_refreshed_at' updates after the scheduled/on-demand refresh, and provider status (success/degraded/failed) is recorded and visible.</t>
  </si>
  <si>
    <t xml:space="preserve">M-3</t>
  </si>
  <si>
    <t xml:space="preserve">'Refresh twin' gives no loading/completion feedback; only an OPTIONS preflight is observed, no visible follow-up. See M-3.</t>
  </si>
  <si>
    <t xml:space="preserve">TC-FR-024</t>
  </si>
  <si>
    <t xml:space="preserve">FR-054</t>
  </si>
  <si>
    <t xml:space="preserve">Twin summary API/view supports dashboard and assistant grounding</t>
  </si>
  <si>
    <t xml:space="preserve">A farm with at least one production area and field.</t>
  </si>
  <si>
    <t xml:space="preserve">1. Call/view the twin summary endpoint or dashboard widget.</t>
  </si>
  <si>
    <t xml:space="preserve">Response/view includes a production-area breakdown suitable for both the dashboard UI and as grounding context for the AI Assistant.</t>
  </si>
  <si>
    <t xml:space="preserve">Assistant answers correctly referenced twin data (farm size, missing crop zones), confirming the summary feeds it.</t>
  </si>
  <si>
    <t xml:space="preserve">TC-FR-025</t>
  </si>
  <si>
    <t xml:space="preserve">FR-055</t>
  </si>
  <si>
    <t xml:space="preserve">No raw machine output surfaced to farmer</t>
  </si>
  <si>
    <t xml:space="preserve">A twin or plan has been generated via LLM.</t>
  </si>
  <si>
    <t xml:space="preserve">1. Inspect all farmer-facing twin and plan outputs (dashboard, plan screen, assistant).</t>
  </si>
  <si>
    <t xml:space="preserve">All content is structured, localized, and human-readable; no raw JSON/LLM blob or stack trace is ever shown to the farmer.</t>
  </si>
  <si>
    <t xml:space="preserve">M-1</t>
  </si>
  <si>
    <t xml:space="preserve">Overview 'Weather' tile renders the literal provider-status enum 'success' instead of the forecast. See M-1.</t>
  </si>
  <si>
    <t xml:space="preserve">TC-FR-026</t>
  </si>
  <si>
    <t xml:space="preserve">Farm Twinning / Optimization</t>
  </si>
  <si>
    <t xml:space="preserve">FR-029</t>
  </si>
  <si>
    <t xml:space="preserve">Record multiple crops/fields on one farm</t>
  </si>
  <si>
    <t xml:space="preserve">Authenticated farmer with an existing farm.</t>
  </si>
  <si>
    <t xml:space="preserve">1. Add three fields, each with a different crop.</t>
  </si>
  <si>
    <t xml:space="preserve">All three fields and their distinct crops are recorded and retrievable.</t>
  </si>
  <si>
    <t xml:space="preserve">Add zone fails silently for every attempt — no second field/crop can be created. See H-1.</t>
  </si>
  <si>
    <t xml:space="preserve">TC-FR-027</t>
  </si>
  <si>
    <t xml:space="preserve">FR-030</t>
  </si>
  <si>
    <t xml:space="preserve">Companion-planting compatibility with reasons</t>
  </si>
  <si>
    <t xml:space="preserve">A farm with two crop zones planted with a known-incompatible crop pair (e.g., tomato and cabbage-family crop, per compatibility table).</t>
  </si>
  <si>
    <t xml:space="preserve">1. View the crop compatibility panel for the two fields.</t>
  </si>
  <si>
    <t xml:space="preserve">Relation is shown as good/avoid/neutral with a localized reason drawn from the companion-planting table.</t>
  </si>
  <si>
    <t xml:space="preserve">Needs ≥2 real crop zones — zone creation fails. See H-1.</t>
  </si>
  <si>
    <t xml:space="preserve">TC-FR-028</t>
  </si>
  <si>
    <t xml:space="preserve">FR-099, FR-103</t>
  </si>
  <si>
    <t xml:space="preserve">On-farm neighbouring-field compatibility takes precedence</t>
  </si>
  <si>
    <t xml:space="preserve">A farm with Field A adjacent to Field B (incompatible pair) and also containing a non-adjacent Field C with a different incompatible crop.</t>
  </si>
  <si>
    <t xml:space="preserve">1. View compatibility warnings for Field A.</t>
  </si>
  <si>
    <t xml:space="preserve">The neighbouring Field B conflict is evaluated and surfaced first/with priority, ahead of same-farm non-adjacent conflicts or anonymized nearby-farm signals.</t>
  </si>
  <si>
    <t xml:space="preserve">TC-FR-029</t>
  </si>
  <si>
    <t xml:space="preserve">FR-100</t>
  </si>
  <si>
    <t xml:space="preserve">Warn on conflicting crop change with alternatives</t>
  </si>
  <si>
    <t xml:space="preserve">Field A borders Field B, which grows a crop incompatible with a proposed new crop for Field A.</t>
  </si>
  <si>
    <t xml:space="preserve">1. Attempt to change Field A's crop to the incompatible crop.</t>
  </si>
  <si>
    <t xml:space="preserve">System warns of the conflict with Field B and suggests compatible alternative crops/varieties.</t>
  </si>
  <si>
    <t xml:space="preserve">TC-FR-030</t>
  </si>
  <si>
    <t xml:space="preserve">FR-101, FR-102, FR-108</t>
  </si>
  <si>
    <t xml:space="preserve">Neighbouring-farm compatibility uses only anonymized aggregates</t>
  </si>
  <si>
    <t xml:space="preserve">Region has sufficient nearby-farm crop data for the farmer's area.</t>
  </si>
  <si>
    <t xml:space="preserve">1. View neighbouring/nearby-farm compatibility insight for a field.
2. Inspect the underlying data/response for any per-farm identifiers.</t>
  </si>
  <si>
    <t xml:space="preserve">Insight is labeled as a regional/neighbourhood signal (e.g., 'common nearby crops'); no individual farmer identity or specific neighbour's field map is ever exposed.</t>
  </si>
  <si>
    <t xml:space="preserve">No UI entry point found for this feature at all; also needs a real crop zone. See H-1.</t>
  </si>
  <si>
    <t xml:space="preserve">TC-FR-031</t>
  </si>
  <si>
    <t xml:space="preserve">FR-104, FR-105, FR-106, FR-107</t>
  </si>
  <si>
    <t xml:space="preserve">Must/Should</t>
  </si>
  <si>
    <t xml:space="preserve">Seed variety suggestions with rationale, and can be accepted</t>
  </si>
  <si>
    <t xml:space="preserve">A field with a selected crop but no seed variety, region/season/soil/water context available.</t>
  </si>
  <si>
    <t xml:space="preserve">1. Request seed variety suggestions for the field.
2. Review suggested varieties (name EN/UR, type, rationale, maturity days, water/disease notes, risk).
3. Accept one suggestion.
4. Try 'help me choose variety' with only crop selected.</t>
  </si>
  <si>
    <t xml:space="preserve">Suggestions are tailored and complete per the listed attributes; accepting a variety stores it on the field; 'help me choose' works when only the crop is set; plan output may include a recommended variety when catalog data exists.</t>
  </si>
  <si>
    <t xml:space="preserve">No crop zone can be created to attach a seed variety to. See H-1.</t>
  </si>
  <si>
    <t xml:space="preserve">TC-FR-032</t>
  </si>
  <si>
    <t xml:space="preserve">FR-031, FR-032</t>
  </si>
  <si>
    <t xml:space="preserve">Should/Must</t>
  </si>
  <si>
    <t xml:space="preserve">Care guidance grounded in twin; compatibility still shown if LLM fails</t>
  </si>
  <si>
    <t xml:space="preserve">A farm/field set with an LLM provider that can be forced to fail (simulate timeout/error).</t>
  </si>
  <si>
    <t xml:space="preserve">1. Request care guidance under normal conditions.
2. Simulate LLM provider failure and view the field's compatibility results again.</t>
  </si>
  <si>
    <t xml:space="preserve">Normal case: LLM guidance reflects twin context (soil, water, variety). Failure case: compatibility results still render correctly without depending on the failed LLM call.</t>
  </si>
  <si>
    <t xml:space="preserve">Needs a real field/crop zone — zone creation fails. See H-1.</t>
  </si>
  <si>
    <t xml:space="preserve">TC-FR-033</t>
  </si>
  <si>
    <t xml:space="preserve">FR-056, FR-057, FR-058, FR-117</t>
  </si>
  <si>
    <t xml:space="preserve">Optimal multi-environment portfolio recommendation balances all factors, sustainability never overriding suitability</t>
  </si>
  <si>
    <t xml:space="preserve">A farm with open field, shed, and experimental production areas, with water and soil constraints configured.</t>
  </si>
  <si>
    <t xml:space="preserve">1. Request a portfolio optimization/recommendation across the farm.
2. Inspect the rationale for each recommended allocation.
3. Specifically check whether any crop was chosen purely for lower resource use despite unsuitable soil/season/environment or unacceptable yield/risk.</t>
  </si>
  <si>
    <t xml:space="preserve">Recommendation spans multiple production environments and land, with rationale referencing yield, economics, water, soil, weather, compatibility, seed variety, risk, diversification, budget, and sustainability jointly — sustainability is never the sole justification for an otherwise unsuitable/low-yield/high-risk choice.</t>
  </si>
  <si>
    <t xml:space="preserve">Needs multiple real production areas/crop zones — creation fails. See H-1.</t>
  </si>
  <si>
    <t xml:space="preserve">TC-FR-034</t>
  </si>
  <si>
    <t xml:space="preserve">FR-059</t>
  </si>
  <si>
    <t xml:space="preserve">Portfolio presented as clear per-crop allocation</t>
  </si>
  <si>
    <t xml:space="preserve">A generated portfolio recommendation.</t>
  </si>
  <si>
    <t xml:space="preserve">1. View the portfolio recommendation output.</t>
  </si>
  <si>
    <t xml:space="preserve">Output is presented as acres/sq ft per crop, including experimental and reserve allocations, grouped by production area where relevant.</t>
  </si>
  <si>
    <t xml:space="preserve">Needs a generated portfolio recommendation, which needs real crop zones. See H-1.</t>
  </si>
  <si>
    <t xml:space="preserve">TC-FR-035</t>
  </si>
  <si>
    <t xml:space="preserve">FR-007, FR-008, FR-009, FR-010, FR-022, FR-023</t>
  </si>
  <si>
    <t xml:space="preserve">Custom plan generation with region/season crops, calendar, inputs, structured sections</t>
  </si>
  <si>
    <t xml:space="preserve">A farm with location, season context, and (optionally) weather/soil data available.</t>
  </si>
  <si>
    <t xml:space="preserve">1. Request plan generation.
2. Review the resulting plan.</t>
  </si>
  <si>
    <t xml:space="preserve">Plan is generated via LLM/deterministic tables from twin inputs; includes region/season-appropriate crops, a step-by-step calendar, water/fertilizer/input guidance; is enriched with weather/soil when available (context_used recorded); and renders as clearly sectioned content, never raw output.</t>
  </si>
  <si>
    <t xml:space="preserve">LLM plan generation confirmed producing real, sectioned, disclaimer-carrying content.</t>
  </si>
  <si>
    <t xml:space="preserve">TC-FR-036</t>
  </si>
  <si>
    <t xml:space="preserve">FR-024</t>
  </si>
  <si>
    <t xml:space="preserve">Plan share/export as PDF</t>
  </si>
  <si>
    <t xml:space="preserve">A generated plan exists.</t>
  </si>
  <si>
    <t xml:space="preserve">1. Use the share-as-text option.
2. Export the plan as PDF.</t>
  </si>
  <si>
    <t xml:space="preserve">Plan text can be shared; PDF export renders correctly with proper formatting (see also NFR-004 for RTL).</t>
  </si>
  <si>
    <t xml:space="preserve">M-6</t>
  </si>
  <si>
    <t xml:space="preserve">No Share/Export/PDF control exists anywhere on the Plan page — not broken, just not built. See M-6.</t>
  </si>
  <si>
    <t xml:space="preserve">TC-FR-037</t>
  </si>
  <si>
    <t xml:space="preserve">FR-025, FR-012</t>
  </si>
  <si>
    <t xml:space="preserve">Language change offers regeneration, not silent auto-translate; content in selected language</t>
  </si>
  <si>
    <t xml:space="preserve">A generated plan exists in English.</t>
  </si>
  <si>
    <t xml:space="preserve">1. Switch app language to Urdu after the plan is generated.
2. Observe UI and plan behavior.</t>
  </si>
  <si>
    <t xml:space="preserve">UI switches to Urdu immediately; the existing plan is not silently auto-translated — farmer is offered plan regeneration in Urdu; newly generated plans/assistant answers appear in the selected language.</t>
  </si>
  <si>
    <t xml:space="preserve">H-2</t>
  </si>
  <si>
    <t xml:space="preserve">Language never actually switches to Urdu anywhere in the app, so this requirement is unreachable as a direct consequence. See H-2.</t>
  </si>
  <si>
    <t xml:space="preserve">TC-FR-038</t>
  </si>
  <si>
    <t xml:space="preserve">AI Farm Assistant</t>
  </si>
  <si>
    <t xml:space="preserve">FR-060</t>
  </si>
  <si>
    <t xml:space="preserve">Every farm has its own scoped assistant</t>
  </si>
  <si>
    <t xml:space="preserve">Farmer with two farms, A and B.</t>
  </si>
  <si>
    <t xml:space="preserve">1. Open the assistant for Farm A and ask a farm-specific question.
2. Open the assistant for Farm B.</t>
  </si>
  <si>
    <t xml:space="preserve">Farm B's assistant has no memory of or reference to Farm A's conversation or data; each assistant is scoped strictly to its own farm's twin.</t>
  </si>
  <si>
    <t xml:space="preserve">TC-FR-039</t>
  </si>
  <si>
    <t xml:space="preserve">FR-061, FR-118</t>
  </si>
  <si>
    <t xml:space="preserve">Assistant grounds answers in full twin context, resolving correct production area</t>
  </si>
  <si>
    <t xml:space="preserve">A farm with both an open-field cucumber zone and a shed cucumber zone.</t>
  </si>
  <si>
    <t xml:space="preserve">1. Ask the assistant 'How is my shed cucumber crop performing?'
2. Ask 'How is my open field cucumber doing?'</t>
  </si>
  <si>
    <t xml:space="preserve">Assistant resolves and answers using the correct production area's twin data in each case (shed vs open field) and never assumes protected crops share outdoor conditions.</t>
  </si>
  <si>
    <t xml:space="preserve">Only one production area exists on any test farm — can't verify resolution between e.g. shed vs open-field twin data. See H-1.</t>
  </si>
  <si>
    <t xml:space="preserve">TC-FR-040</t>
  </si>
  <si>
    <t xml:space="preserve">FR-062</t>
  </si>
  <si>
    <t xml:space="preserve">Assistant discloses insufficient data rather than inventing facts</t>
  </si>
  <si>
    <t xml:space="preserve">A farm missing soil-test data and with no water source configured.</t>
  </si>
  <si>
    <t xml:space="preserve">1. Ask the assistant a question that depends on missing data (e.g., exact soil pH).</t>
  </si>
  <si>
    <t xml:space="preserve">Assistant clearly states the data is unavailable/uncertain rather than fabricating a specific farm fact.</t>
  </si>
  <si>
    <t xml:space="preserve">Confirmed twice live: assistant explicitly named missing crop-zone/soil/water data rather than fabricating figures (tomato irrigation question, Green Farm Score question).</t>
  </si>
  <si>
    <t xml:space="preserve">TC-FR-041</t>
  </si>
  <si>
    <t xml:space="preserve">FR-063</t>
  </si>
  <si>
    <t xml:space="preserve">Assistant supports the full range of specified question types</t>
  </si>
  <si>
    <t xml:space="preserve">A farm with full twin data (crops, water, weather, history, protected area, Green Score).</t>
  </si>
  <si>
    <t xml:space="preserve">1. Ask each of: what to plant next; which seed variety; best expected return; which field needs water; spraying suitability; yield change; crop compatibility (on-farm and nearby); plan changes; crop risk; last year's performance; what to do this week; protected-area performance; a Green Farm Score question.</t>
  </si>
  <si>
    <t xml:space="preserve">Each question type receives a relevant, twin-grounded answer.</t>
  </si>
  <si>
    <t xml:space="preserve">TC-FR-042</t>
  </si>
  <si>
    <t xml:space="preserve">FR-064</t>
  </si>
  <si>
    <t xml:space="preserve">Assistant conversations persisted per farm, owner-scoped</t>
  </si>
  <si>
    <t xml:space="preserve">A farmer has an assistant conversation on Farm A.</t>
  </si>
  <si>
    <t xml:space="preserve">1. Ask a question, close the app, reopen, and revisit Farm A's assistant.
2. As a different farmer, attempt to access Farm A's assistant history.</t>
  </si>
  <si>
    <t xml:space="preserve">History is retained and shown to the owning farmer on return; another farmer cannot access it.</t>
  </si>
  <si>
    <t xml:space="preserve">TC-FR-043</t>
  </si>
  <si>
    <t xml:space="preserve">FR-065</t>
  </si>
  <si>
    <t xml:space="preserve">Assistant cites influencing twin signals</t>
  </si>
  <si>
    <t xml:space="preserve">A farm with weather forecast and a shed with humidity data.</t>
  </si>
  <si>
    <t xml:space="preserve">1. Ask a question answerable from weather forecast and shed humidity.</t>
  </si>
  <si>
    <t xml:space="preserve">Answer includes a lightweight citation of which signals were used (e.g., 'based on tomorrow's forecast and shed humidity reading').</t>
  </si>
  <si>
    <t xml:space="preserve">TC-FR-044</t>
  </si>
  <si>
    <t xml:space="preserve">FR-066</t>
  </si>
  <si>
    <t xml:space="preserve">Assistant never exposes other farmers' private data</t>
  </si>
  <si>
    <t xml:space="preserve">Two farmer accounts with distinct private farm data.</t>
  </si>
  <si>
    <t xml:space="preserve">1. As Farmer A, attempt prompt-injection style questions asking the assistant to reveal another farmer's data.</t>
  </si>
  <si>
    <t xml:space="preserve">Assistant refuses and does not disclose any other farmer's private information under any prompt phrasing.</t>
  </si>
  <si>
    <t xml:space="preserve">TC-FR-045</t>
  </si>
  <si>
    <t xml:space="preserve">Weather Intelligence</t>
  </si>
  <si>
    <t xml:space="preserve">FR-067, FR-068</t>
  </si>
  <si>
    <t xml:space="preserve">Twin stores current/forecast weather with required fields</t>
  </si>
  <si>
    <t xml:space="preserve">A farm with a valid location and a working weather provider.</t>
  </si>
  <si>
    <t xml:space="preserve">1. Refresh the twin.
2. Inspect the weather section.</t>
  </si>
  <si>
    <t xml:space="preserve">Current and forecast weather are stored, including temperature, rain probability, rainfall, humidity, wind, extreme weather alerts, and forecast trends where the provider supplies them.</t>
  </si>
  <si>
    <t xml:space="preserve">Only a bare 'Clear' forecast string was ever observed; no temperature, rain probability, humidity, or wind fields seen on any screen.</t>
  </si>
  <si>
    <t xml:space="preserve">TC-FR-046</t>
  </si>
  <si>
    <t xml:space="preserve">FR-069</t>
  </si>
  <si>
    <t xml:space="preserve">Weather changes dynamically influence recommendations/alerts</t>
  </si>
  <si>
    <t xml:space="preserve">A farm with an irrigation plan step scheduled, and a forecast showing significant rain incoming.</t>
  </si>
  <si>
    <t xml:space="preserve">1. Trigger/await a twin refresh that picks up the new rain forecast.
2. Check plan guidance and alerts.</t>
  </si>
  <si>
    <t xml:space="preserve">System revises guidance (e.g., delay irrigation) and/or raises an alert reflecting the updated forecast.</t>
  </si>
  <si>
    <t xml:space="preserve">TC-FR-047</t>
  </si>
  <si>
    <t xml:space="preserve">FR-070</t>
  </si>
  <si>
    <t xml:space="preserve">Weather provider swappable without client changes</t>
  </si>
  <si>
    <t xml:space="preserve">Admin access to provider configuration.</t>
  </si>
  <si>
    <t xml:space="preserve">1. Switch the configured weather provider to an alternate one.
2. Use the farmer app without any client update.</t>
  </si>
  <si>
    <t xml:space="preserve">Weather data continues to populate correctly with no farmer-client code change required.</t>
  </si>
  <si>
    <t xml:space="preserve">TC-FR-048</t>
  </si>
  <si>
    <t xml:space="preserve">Soil Intelligence</t>
  </si>
  <si>
    <t xml:space="preserve">FR-071</t>
  </si>
  <si>
    <t xml:space="preserve">Twin maintains available soil attributes</t>
  </si>
  <si>
    <t xml:space="preserve">A farm with a working soil/agri provider and/or farmer-entered soil-test data.</t>
  </si>
  <si>
    <t xml:space="preserve">1. Refresh the twin and inspect the soil section.</t>
  </si>
  <si>
    <t xml:space="preserve">Soil type, texture, pH, organic matter, nutrients, and other available characteristics are shown where obtainable.</t>
  </si>
  <si>
    <t xml:space="preserve">No soil entry UI exists — the /soil page renders only a heading and a Back link. See H-1 step 4.</t>
  </si>
  <si>
    <t xml:space="preserve">TC-FR-049</t>
  </si>
  <si>
    <t xml:space="preserve">FR-072</t>
  </si>
  <si>
    <t xml:space="preserve">Data provenance is distinguished and labeled</t>
  </si>
  <si>
    <t xml:space="preserve">A farm with soil data from a third-party estimate and a separate farmer-entered soil-test result.</t>
  </si>
  <si>
    <t xml:space="preserve">1. View both soil values in the UI.</t>
  </si>
  <si>
    <t xml:space="preserve">Each value is clearly labeled with its provenance: farmer-provided, third-party estimated, or observed/measured.</t>
  </si>
  <si>
    <t xml:space="preserve">Cannot enter soil data of any provenance to test labeling — see H-1 step 4.</t>
  </si>
  <si>
    <t xml:space="preserve">TC-FR-050</t>
  </si>
  <si>
    <t xml:space="preserve">FR-073</t>
  </si>
  <si>
    <t xml:space="preserve">Farmer-entered soil test takes precedence in recommendation weighting</t>
  </si>
  <si>
    <t xml:space="preserve">A farm with a third-party soil estimate already present.</t>
  </si>
  <si>
    <t xml:space="preserve">1. Enter a soil-test result that differs from the third-party estimate.
2. Request a new plan/recommendation.</t>
  </si>
  <si>
    <t xml:space="preserve">Farmer-provided/measured soil data is used preferentially over the third-party estimate in generating the recommendation.</t>
  </si>
  <si>
    <t xml:space="preserve">No soil-entry form exists to submit a farmer soil test. See H-1 step 4.</t>
  </si>
  <si>
    <t xml:space="preserve">TC-FR-051</t>
  </si>
  <si>
    <t xml:space="preserve">FR-074</t>
  </si>
  <si>
    <t xml:space="preserve">Unknown soil never blocks plan generation</t>
  </si>
  <si>
    <t xml:space="preserve">A farm with soil marked as unknown/unset.</t>
  </si>
  <si>
    <t xml:space="preserve">1. Request plan generation.</t>
  </si>
  <si>
    <t xml:space="preserve">Plan is still generated, using AI inference or soil-robust guidance, without being blocked by the missing soil data.</t>
  </si>
  <si>
    <t xml:space="preserve">Wizard generated a plan with soil left as 'unknown'.</t>
  </si>
  <si>
    <t xml:space="preserve">TC-FR-052</t>
  </si>
  <si>
    <t xml:space="preserve">Water Intelligence</t>
  </si>
  <si>
    <t xml:space="preserve">FR-075, FR-076</t>
  </si>
  <si>
    <t xml:space="preserve">Multiple water sources with full attribute set</t>
  </si>
  <si>
    <t xml:space="preserve">1. Add a tube well source with type, availability, seasonal availability, capacity, reliability, irrigation method, and fields served.
2. Add a second source of a different type (e.g., rainwater).</t>
  </si>
  <si>
    <t xml:space="preserve">Both sources are stored with all supplied attributes and correctly linked to the fields/areas they serve.</t>
  </si>
  <si>
    <t xml:space="preserve">Add-water-source form resets to blank on submit; nothing persists. See H-1 step 2.</t>
  </si>
  <si>
    <t xml:space="preserve">TC-FR-053</t>
  </si>
  <si>
    <t xml:space="preserve">FR-077</t>
  </si>
  <si>
    <t xml:space="preserve">Recommendations consider water constraints</t>
  </si>
  <si>
    <t xml:space="preserve">A farm where total water capacity is insufficient for all high-water-demand crop candidates.</t>
  </si>
  <si>
    <t xml:space="preserve">1. Request a crop/portfolio recommendation.</t>
  </si>
  <si>
    <t xml:space="preserve">Recommendation favors lower water-demand crops or flags the constraint rather than recommending an infeasible high-water plan.</t>
  </si>
  <si>
    <t xml:space="preserve">No water source can be persisted to test constraint-aware recommendations against.</t>
  </si>
  <si>
    <t xml:space="preserve">TC-FR-054</t>
  </si>
  <si>
    <t xml:space="preserve">FR-078</t>
  </si>
  <si>
    <t xml:space="preserve">Assistant/alerts answer field- and production-area-level irrigation questions correctly</t>
  </si>
  <si>
    <t xml:space="preserve">A farm with an open field and a shed, each with distinct water/weather/growth-stage context.</t>
  </si>
  <si>
    <t xml:space="preserve">1. Ask the assistant an irrigation question about the open field.
2. Ask the same style of question about the shed.</t>
  </si>
  <si>
    <t xml:space="preserve">Each answer uses the correct production-area context (e.g., shed humidity vs open-field rain forecast) to advise on irrigation.</t>
  </si>
  <si>
    <t xml:space="preserve">Only one production area exists per farm — can't compare shed vs open-field irrigation answers.</t>
  </si>
  <si>
    <t xml:space="preserve">TC-FR-055</t>
  </si>
  <si>
    <t xml:space="preserve">Yield &amp; Economic Intelligence</t>
  </si>
  <si>
    <t xml:space="preserve">FR-011</t>
  </si>
  <si>
    <t xml:space="preserve">Plan includes yield/harvest prediction with confidence</t>
  </si>
  <si>
    <t xml:space="preserve">A generated plan for a farm with sufficient twin context.</t>
  </si>
  <si>
    <t xml:space="preserve">1. View the plan's yield section.</t>
  </si>
  <si>
    <t xml:space="preserve">Yield/harvest prediction is shown along with confidence level and stated assumptions.</t>
  </si>
  <si>
    <t xml:space="preserve">Needs a real crop zone with expected yield — zone creation fails. See H-1.</t>
  </si>
  <si>
    <t xml:space="preserve">TC-FR-056</t>
  </si>
  <si>
    <t xml:space="preserve">FR-079, FR-080</t>
  </si>
  <si>
    <t xml:space="preserve">Reference gross value computed and labeled as historical, not guaranteed</t>
  </si>
  <si>
    <t xml:space="preserve">A field with an expected yield and a matching government reference rate available.</t>
  </si>
  <si>
    <t xml:space="preserve">1. View the field/crop's economic summary.</t>
  </si>
  <si>
    <t xml:space="preserve">Reference Gross Value = Expected Yield × Government Reference Rate is shown, explicitly labeled as a historical reference value, never presented as a guaranteed future price.</t>
  </si>
  <si>
    <t xml:space="preserve">TC-FR-057</t>
  </si>
  <si>
    <t xml:space="preserve">FR-081</t>
  </si>
  <si>
    <t xml:space="preserve">Comparative crop economics table</t>
  </si>
  <si>
    <t xml:space="preserve">A portfolio recommendation covering multiple candidate crops.</t>
  </si>
  <si>
    <t xml:space="preserve">1. View the economics comparison table.</t>
  </si>
  <si>
    <t xml:space="preserve">Table presents yield, reference rate, expected gross value, and risk side-by-side for the candidate crops.</t>
  </si>
  <si>
    <t xml:space="preserve">Needs a portfolio of real candidate crops — zone creation fails. See H-1.</t>
  </si>
  <si>
    <t xml:space="preserve">TC-FR-058</t>
  </si>
  <si>
    <t xml:space="preserve">FR-082</t>
  </si>
  <si>
    <t xml:space="preserve">Estimated production cost incorporated for net-value framing</t>
  </si>
  <si>
    <t xml:space="preserve">A field with an entered or modeled production cost.</t>
  </si>
  <si>
    <t xml:space="preserve">1. View the economic summary with cost data present.</t>
  </si>
  <si>
    <t xml:space="preserve">Net-value framing (gross value minus estimated cost) is shown or clearly derivable, using the provided/modeled cost.</t>
  </si>
  <si>
    <t xml:space="preserve">Needs a real field with cost data — zone creation fails. See H-1.</t>
  </si>
  <si>
    <t xml:space="preserve">TC-FR-059</t>
  </si>
  <si>
    <t xml:space="preserve">FR-083</t>
  </si>
  <si>
    <t xml:space="preserve">Admin manages government reference rate datasets</t>
  </si>
  <si>
    <t xml:space="preserve">Admin console access.</t>
  </si>
  <si>
    <t xml:space="preserve">1. As admin, add/update a government reference rate for a crop with an effective period.
2. Confirm the new rate is used in a fresh economic computation for that crop.</t>
  </si>
  <si>
    <t xml:space="preserve">Rate is stored by crop and effective period and is reflected in subsequent economic calculations.</t>
  </si>
  <si>
    <t xml:space="preserve">H-3</t>
  </si>
  <si>
    <t xml:space="preserve">Admin console sign-in never proceeds. See H-3.</t>
  </si>
  <si>
    <t xml:space="preserve">TC-FR-060</t>
  </si>
  <si>
    <t xml:space="preserve">Nearby Farm Intelligence</t>
  </si>
  <si>
    <t xml:space="preserve">FR-033, FR-034</t>
  </si>
  <si>
    <t xml:space="preserve">Blended AI + regional suggestions, degrading gracefully when sparse</t>
  </si>
  <si>
    <t xml:space="preserve">One region with ample nearby-farm data, another region with very few farms.</t>
  </si>
  <si>
    <t xml:space="preserve">1. Request crop suggestions in the data-rich region.
2. Request crop suggestions in the sparse region.</t>
  </si>
  <si>
    <t xml:space="preserve">Rich region: suggestions blend AI reasoning with anonymized regional data. Sparse region: suggestions degrade to AI-only and are clearly labeled as such.</t>
  </si>
  <si>
    <t xml:space="preserve">Missing feature (FR-033/034)</t>
  </si>
  <si>
    <t xml:space="preserve">No 'similar/nearby farms' screen or entry point found anywhere in the app. See report 'Features not yet built'.</t>
  </si>
  <si>
    <t xml:space="preserve">TC-FR-061</t>
  </si>
  <si>
    <t xml:space="preserve">FR-035</t>
  </si>
  <si>
    <t xml:space="preserve">Only aggregated, anonymized regional data exposed</t>
  </si>
  <si>
    <t xml:space="preserve">Multiple farms in the same region.</t>
  </si>
  <si>
    <t xml:space="preserve">1. View 'farms similar to yours nearby' or regional insight output.
2. Inspect underlying API payload for identifying details.</t>
  </si>
  <si>
    <t xml:space="preserve">Only aggregate statistics are shown/returned; no individual farmer identity or private farm detail is ever exposed.</t>
  </si>
  <si>
    <t xml:space="preserve">Missing feature (FR-035)</t>
  </si>
  <si>
    <t xml:space="preserve">No nearby-farm insight screen exists to inspect. See report 'Features not yet built'.</t>
  </si>
  <si>
    <t xml:space="preserve">TC-FR-062</t>
  </si>
  <si>
    <t xml:space="preserve">FR-084, FR-085</t>
  </si>
  <si>
    <t xml:space="preserve">Similarity factors and aggregated-statement UI</t>
  </si>
  <si>
    <t xml:space="preserve">Farms of similar size/soil/climate in one region.</t>
  </si>
  <si>
    <t xml:space="preserve">1. View the 'similar farms nearby' insight.</t>
  </si>
  <si>
    <t xml:space="preserve">Similarity considers proximity, size, soil, climate, water, crop selection, season; insight is presented purely as an aggregated statement (e.g., percentages/common patterns), never individual records.</t>
  </si>
  <si>
    <t xml:space="preserve">Missing feature (FR-084/085)</t>
  </si>
  <si>
    <t xml:space="preserve">No 'similar farms nearby' insight UI found. See report 'Features not yet built'.</t>
  </si>
  <si>
    <t xml:space="preserve">TC-FR-063</t>
  </si>
  <si>
    <t xml:space="preserve">FR-108</t>
  </si>
  <si>
    <t xml:space="preserve">Nearby-farm aggregates feed neighbouring-crop compatibility without exposing identities</t>
  </si>
  <si>
    <t xml:space="preserve">A region with nearby-farm crop aggregate data available.</t>
  </si>
  <si>
    <t xml:space="preserve">1. View neighbouring-crop compatibility for a field that relies on nearby-farm signals.</t>
  </si>
  <si>
    <t xml:space="preserve">Compatibility insight is informed by the aggregate but never states which specific neighbour grows which crop.</t>
  </si>
  <si>
    <t xml:space="preserve">Missing feature (FR-108)</t>
  </si>
  <si>
    <t xml:space="preserve">No neighbouring-crop compatibility screen found that uses this signal. See report 'Features not yet built'.</t>
  </si>
  <si>
    <t xml:space="preserve">TC-FR-064</t>
  </si>
  <si>
    <t xml:space="preserve">Experimental Farm</t>
  </si>
  <si>
    <t xml:space="preserve">FR-086, FR-087, FR-119</t>
  </si>
  <si>
    <t xml:space="preserve">Experimental production area allocable as small share of farm</t>
  </si>
  <si>
    <t xml:space="preserve">A farm with available unallocated land.</t>
  </si>
  <si>
    <t xml:space="preserve">1. Create a production area of type 'experimental'.
2. Allocate a plot to it.</t>
  </si>
  <si>
    <t xml:space="preserve">Experimental area can be created (P0 model) and, when the workflow is exercised (P1), defaults to a small area relative to total farm size to limit risk exposure.</t>
  </si>
  <si>
    <t xml:space="preserve">Experimental area type is selectable, but Add-area submission fails silently — can't allocate a plot to it. See H-1 step 1.</t>
  </si>
  <si>
    <t xml:space="preserve">TC-FR-065</t>
  </si>
  <si>
    <t xml:space="preserve">FR-088</t>
  </si>
  <si>
    <t xml:space="preserve">Full experimental workflow end to end</t>
  </si>
  <si>
    <t xml:space="preserve">An experimental production area with an AI-identified candidate crop.</t>
  </si>
  <si>
    <t xml:space="preserve">1. Progress through: AI identification → local condition comparison → yield/profit/risk estimate → small-area recommendation → farmer approval → season tracking → record actual outcome → compare to prediction.</t>
  </si>
  <si>
    <t xml:space="preserve">Every workflow stage completes and the final predicted-vs-actual comparison is recorded and feeds the Farm Learning Loop.</t>
  </si>
  <si>
    <t xml:space="preserve">Missing feature (FR-086-089)</t>
  </si>
  <si>
    <t xml:space="preserve">No identify-&gt;compare-&gt;estimate-&gt;approve-&gt;track-&gt;compare-to-actual workflow exists in the UI. See report 'Features not yet built'.</t>
  </si>
  <si>
    <t xml:space="preserve">TC-FR-066</t>
  </si>
  <si>
    <t xml:space="preserve">FR-089</t>
  </si>
  <si>
    <t xml:space="preserve">Experimental candidates include uncommon/high-risk options</t>
  </si>
  <si>
    <t xml:space="preserve">An experimental area awaiting a crop candidate.</t>
  </si>
  <si>
    <t xml:space="preserve">1. Request an experimental crop suggestion.</t>
  </si>
  <si>
    <t xml:space="preserve">Suggestion pool may include uncommon, newly introduced, AI-recommended, climate-analogous, or higher-risk/high-value candidates, not just mainstream crops.</t>
  </si>
  <si>
    <t xml:space="preserve">TC-FR-067</t>
  </si>
  <si>
    <t xml:space="preserve">Farm Learning Loop</t>
  </si>
  <si>
    <t xml:space="preserve">FR-090</t>
  </si>
  <si>
    <t xml:space="preserve">Record actual yield/cost/outcome per field/season</t>
  </si>
  <si>
    <t xml:space="preserve">A field with a completed season and a prior predicted yield.</t>
  </si>
  <si>
    <t xml:space="preserve">1. Enter actual yield, cost, and outcome for the season.</t>
  </si>
  <si>
    <t xml:space="preserve">Actual values are recorded against the correct field and season.</t>
  </si>
  <si>
    <t xml:space="preserve">Missing feature (FR-090-092)</t>
  </si>
  <si>
    <t xml:space="preserve">No 'record actual outcome' UI found anywhere. See report 'Features not yet built'.</t>
  </si>
  <si>
    <t xml:space="preserve">TC-FR-068</t>
  </si>
  <si>
    <t xml:space="preserve">FR-091</t>
  </si>
  <si>
    <t xml:space="preserve">Predicted vs actual comparison improves future recommendations</t>
  </si>
  <si>
    <t xml:space="preserve">A field with both predicted and newly recorded actual outcomes.</t>
  </si>
  <si>
    <t xml:space="preserve">1. View the predicted-vs-actual comparison with an optional reason code.
2. Request a new recommendation for the same field/crop in a later season.</t>
  </si>
  <si>
    <t xml:space="preserve">Difference and reason code are stored; the subsequent recommendation reflects the learned adjustment for that farm.</t>
  </si>
  <si>
    <t xml:space="preserve">TC-FR-069</t>
  </si>
  <si>
    <t xml:space="preserve">FR-092</t>
  </si>
  <si>
    <t xml:space="preserve">P2</t>
  </si>
  <si>
    <t xml:space="preserve">Multi-season Farm Intelligence History summary</t>
  </si>
  <si>
    <t xml:space="preserve">A farm with three or more completed seasons of recorded outcomes.</t>
  </si>
  <si>
    <t xml:space="preserve">1. View the Farm Intelligence History summary.</t>
  </si>
  <si>
    <t xml:space="preserve">Performance trends across seasons are summarized clearly (e.g., yield trend, cost trend).</t>
  </si>
  <si>
    <t xml:space="preserve">Depends on recorded outcomes, which have no UI to enter. See report 'Features not yet built'.</t>
  </si>
  <si>
    <t xml:space="preserve">TC-FR-070</t>
  </si>
  <si>
    <t xml:space="preserve">Alerts &amp; Recommendations</t>
  </si>
  <si>
    <t xml:space="preserve">FR-036</t>
  </si>
  <si>
    <t xml:space="preserve">Dashboard surfaces alerts (weather/calendar/pest)</t>
  </si>
  <si>
    <t xml:space="preserve">A farm with an upcoming plan-calendar reminder and adverse weather forecast.</t>
  </si>
  <si>
    <t xml:space="preserve">1. Open the dashboard.</t>
  </si>
  <si>
    <t xml:space="preserve">Alerts area surfaces relevant weather, plan-calendar, and seasonal/pest alerts (on-load computation acceptable for P0).</t>
  </si>
  <si>
    <t xml:space="preserve">Alerts area present and surfaced relevant items on the dashboard.</t>
  </si>
  <si>
    <t xml:space="preserve">TC-FR-071</t>
  </si>
  <si>
    <t xml:space="preserve">FR-037</t>
  </si>
  <si>
    <t xml:space="preserve">Alerts persist with read/unread state</t>
  </si>
  <si>
    <t xml:space="preserve">One or more alerts exist for a farm.</t>
  </si>
  <si>
    <t xml:space="preserve">1. Mark an alert as read.
2. Reload the app/dashboard.</t>
  </si>
  <si>
    <t xml:space="preserve">Read/unread state persists correctly across sessions.</t>
  </si>
  <si>
    <t xml:space="preserve">Marked an alert read; state persisted across reload — one of only two mutations confirmed to actually persist (see H-1 note).</t>
  </si>
  <si>
    <t xml:space="preserve">TC-FR-072</t>
  </si>
  <si>
    <t xml:space="preserve">FR-093</t>
  </si>
  <si>
    <t xml:space="preserve">Continuous evaluation produces actionable 'what to do next' recommendations</t>
  </si>
  <si>
    <t xml:space="preserve">A farm with a twin state change (e.g., new weather data).</t>
  </si>
  <si>
    <t xml:space="preserve">1. Trigger scheduled evaluation (or wait for it) after the twin change.</t>
  </si>
  <si>
    <t xml:space="preserve">A new actionable recommendation is produced answering what the farmer should do next given the change.</t>
  </si>
  <si>
    <t xml:space="preserve">TC-FR-073</t>
  </si>
  <si>
    <t xml:space="preserve">FR-094</t>
  </si>
  <si>
    <t xml:space="preserve">Critical weather/risk alerts prioritized and localized</t>
  </si>
  <si>
    <t xml:space="preserve">A farm facing a severe weather event in the forecast, farmer's language set to Urdu.</t>
  </si>
  <si>
    <t xml:space="preserve">1. Trigger the alert evaluation.</t>
  </si>
  <si>
    <t xml:space="preserve">Critical alert appears prioritized above routine alerts and is rendered in Urdu (RTL).</t>
  </si>
  <si>
    <t xml:space="preserve">TC-FR-074</t>
  </si>
  <si>
    <t xml:space="preserve">FR-095</t>
  </si>
  <si>
    <t xml:space="preserve">Alert/recommendation failure never blocks core viewing</t>
  </si>
  <si>
    <t xml:space="preserve">Alert/recommendation engine forced to fail (simulated).</t>
  </si>
  <si>
    <t xml:space="preserve">1. Simulate a failure in alert computation.
2. Attempt to view the farm/twin.</t>
  </si>
  <si>
    <t xml:space="preserve">Farm and twin views load normally; only the alerts widget shows a graceful failure state.</t>
  </si>
  <si>
    <t xml:space="preserve">TC-FR-075</t>
  </si>
  <si>
    <t xml:space="preserve">History &amp; Analytics</t>
  </si>
  <si>
    <t xml:space="preserve">FR-013, FR-014</t>
  </si>
  <si>
    <t xml:space="preserve">Farm profiles, production areas, fields, and plans are saved and revisitable</t>
  </si>
  <si>
    <t xml:space="preserve">A farmer has created a farm with production areas/fields and generated a plan.</t>
  </si>
  <si>
    <t xml:space="preserve">1. Log out and log back in.
2. Navigate to the farm, its production areas/fields, and the saved plan.</t>
  </si>
  <si>
    <t xml:space="preserve">All previously saved data and the generated plan are retrievable exactly as left.</t>
  </si>
  <si>
    <t xml:space="preserve">Logged out and back in — farms and the generated plan were retrievable exactly as left.</t>
  </si>
  <si>
    <t xml:space="preserve">TC-FR-076</t>
  </si>
  <si>
    <t xml:space="preserve">FR-026, FR-027</t>
  </si>
  <si>
    <t xml:space="preserve">Multiple farms per farmer; edits create new plan versions without destroying history</t>
  </si>
  <si>
    <t xml:space="preserve">A farmer with two farms, one having two prior plan versions.</t>
  </si>
  <si>
    <t xml:space="preserve">1. Create a second farm.
2. Edit farm/production-area/field details on the first farm and regenerate the plan.</t>
  </si>
  <si>
    <t xml:space="preserve">Both farms are retained independently; regeneration creates a new plan version while all prior plan versions remain accessible.</t>
  </si>
  <si>
    <t xml:space="preserve">TC-FR-077</t>
  </si>
  <si>
    <t xml:space="preserve">FR-028, FR-120</t>
  </si>
  <si>
    <t xml:space="preserve">Dashboard lists farms with twin/plan/assistant/alerts entry and environment breakdown</t>
  </si>
  <si>
    <t xml:space="preserve">A farmer with at least one farm containing multiple production area types.</t>
  </si>
  <si>
    <t xml:space="preserve">1. Open the farms dashboard.</t>
  </si>
  <si>
    <t xml:space="preserve">Each farm is listed with access to twin summary, latest plan, assistant entry, and alerts; production-environment breakdown (open/protected/experimental totals, active crops, water status, weather risk, expected yield, reference value, Green Farm Score) is shown when available.</t>
  </si>
  <si>
    <t xml:space="preserve">Multi-farm dashboard with per-farm entry points confirmed present and working.</t>
  </si>
  <si>
    <t xml:space="preserve">TC-FR-078</t>
  </si>
  <si>
    <t xml:space="preserve">FR-096</t>
  </si>
  <si>
    <t xml:space="preserve">Seasons, crops, yield, cost, outcomes tracked for analytics</t>
  </si>
  <si>
    <t xml:space="preserve">A farm with two completed seasons.</t>
  </si>
  <si>
    <t xml:space="preserve">1. View farm performance analytics.</t>
  </si>
  <si>
    <t xml:space="preserve">Season-by-season crops, yield, costs, and outcomes are tracked and presented for the owning farmer only.</t>
  </si>
  <si>
    <t xml:space="preserve">TC-FR-079</t>
  </si>
  <si>
    <t xml:space="preserve">Localization</t>
  </si>
  <si>
    <t xml:space="preserve">FR-015</t>
  </si>
  <si>
    <t xml:space="preserve">Full core flow available in Urdu and English</t>
  </si>
  <si>
    <t xml:space="preserve">A new farmer account.</t>
  </si>
  <si>
    <t xml:space="preserve">1. Complete onboarding, farm creation, plan generation, and dashboard viewing entirely in Urdu.
2. Repeat in English.</t>
  </si>
  <si>
    <t xml:space="preserve">Every screen in the core flow is fully localized and functional in both languages, with correct RTL layout for Urdu.</t>
  </si>
  <si>
    <t xml:space="preserve">Selecting Urdu in Settings has zero effect anywhere: document.documentElement.lang/dir stay 'en'/'ltr', localStorage hv_farmer_language stays 'en', and the saved profile's language field stays 'en' — confirmed via direct DOM/localStorage inspection before and after toggling.</t>
  </si>
  <si>
    <t xml:space="preserve">TC-FR-080</t>
  </si>
  <si>
    <t xml:space="preserve">FR-016</t>
  </si>
  <si>
    <t xml:space="preserve">Language choice persists across sessions</t>
  </si>
  <si>
    <t xml:space="preserve">A farmer sets language to Urdu.</t>
  </si>
  <si>
    <t xml:space="preserve">1. Set language to Urdu.
2. Log out and log back in on the same or a different device.</t>
  </si>
  <si>
    <t xml:space="preserve">App reopens in Urdu without requiring the farmer to reselect it.</t>
  </si>
  <si>
    <t xml:space="preserve">Moot in practice — the toggle never sets any state to persist in the first place (see above).</t>
  </si>
  <si>
    <t xml:space="preserve">TC-FR-081</t>
  </si>
  <si>
    <t xml:space="preserve">Administration</t>
  </si>
  <si>
    <t xml:space="preserve">FR-038</t>
  </si>
  <si>
    <t xml:space="preserve">Web-only admin console available</t>
  </si>
  <si>
    <t xml:space="preserve">Admin credentials.</t>
  </si>
  <si>
    <t xml:space="preserve">1. Log into the admin console via a browser.
2. Attempt to access the same console URL from a mobile app context.</t>
  </si>
  <si>
    <t xml:space="preserve">Admin console is accessible and functional on web; it is not exposed as part of the farmer mobile app.</t>
  </si>
  <si>
    <t xml:space="preserve">Admin login never proceeds past /admin/login with the on-screen demo credentials, via button click or Enter key. See H-3.</t>
  </si>
  <si>
    <t xml:space="preserve">TC-FR-082</t>
  </si>
  <si>
    <t xml:space="preserve">FR-039</t>
  </si>
  <si>
    <t xml:space="preserve">Admin curates crop, seed variety, compatibility, and production-area-type catalogs</t>
  </si>
  <si>
    <t xml:space="preserve">1. Add a new crop to the catalog.
2. Add a new seed variety linked to it.
3. Add a companion-planting rule.
4. Add a new production area type.</t>
  </si>
  <si>
    <t xml:space="preserve">All four catalog additions succeed and become selectable/usable in the farmer-facing app.</t>
  </si>
  <si>
    <t xml:space="preserve">TC-FR-083</t>
  </si>
  <si>
    <t xml:space="preserve">FR-040</t>
  </si>
  <si>
    <t xml:space="preserve">Admin reviews sampled/flagged AI outputs</t>
  </si>
  <si>
    <t xml:space="preserve">One or more AI-generated plans/assistant answers exist, at least one flagged.</t>
  </si>
  <si>
    <t xml:space="preserve">1. As admin, open the AI output review queue.
2. Review a flagged plan/assistant answer.</t>
  </si>
  <si>
    <t xml:space="preserve">Sampled and flagged outputs are visible to admin for quality review.</t>
  </si>
  <si>
    <t xml:space="preserve">TC-FR-084</t>
  </si>
  <si>
    <t xml:space="preserve">FR-041</t>
  </si>
  <si>
    <t xml:space="preserve">Admin views usage and LLM cost analytics</t>
  </si>
  <si>
    <t xml:space="preserve">Some LLM usage has occurred in the system.</t>
  </si>
  <si>
    <t xml:space="preserve">1. As admin, open usage/cost analytics.</t>
  </si>
  <si>
    <t xml:space="preserve">Usage volume and LLM cost figures are visible and broken down meaningfully (e.g., by endpoint/time period).</t>
  </si>
  <si>
    <t xml:space="preserve">TC-FR-085</t>
  </si>
  <si>
    <t xml:space="preserve">FR-042</t>
  </si>
  <si>
    <t xml:space="preserve">Admin auth stronger than farmer OTP; role checks and audit log on every admin endpoint</t>
  </si>
  <si>
    <t xml:space="preserve">Admin and non-admin accounts exist.</t>
  </si>
  <si>
    <t xml:space="preserve">1. Attempt to log into the admin console using farmer OTP-style auth.
2. Log in with proper admin credentials (e.g., email/password + MFA).
3. Perform an admin action (e.g., edit a government rate).
4. Check the audit log.</t>
  </si>
  <si>
    <t xml:space="preserve">Farmer OTP cannot access the admin console; proper admin auth succeeds; every admin endpoint enforces role checks; the performed action appears in the audit log with actor, action, target, and timestamp.</t>
  </si>
  <si>
    <t xml:space="preserve">Admin console sign-in never proceeds, so role checks/audit logging behind it are untestable. See H-3.</t>
  </si>
  <si>
    <t xml:space="preserve">TC-FR-086</t>
  </si>
  <si>
    <t xml:space="preserve">FR-097</t>
  </si>
  <si>
    <t xml:space="preserve">Admin configures provider feature flags</t>
  </si>
  <si>
    <t xml:space="preserve">1. Toggle OTP_MODE between mock and live.
2. Toggle a weather/soil enrichment feature flag.</t>
  </si>
  <si>
    <t xml:space="preserve">Flags take effect for subsequent requests without requiring a farmer-client update.</t>
  </si>
  <si>
    <t xml:space="preserve">TC-FR-087</t>
  </si>
  <si>
    <t xml:space="preserve">Platform Parity</t>
  </si>
  <si>
    <t xml:space="preserve">FR-043, FR-098</t>
  </si>
  <si>
    <t xml:space="preserve">Equivalent functionality across web and mobile on shared backend</t>
  </si>
  <si>
    <t xml:space="preserve">A farmer account used on both a mobile client and a web client.</t>
  </si>
  <si>
    <t xml:space="preserve">1. Perform the same core farm-management action on mobile.
2. Perform an equivalent action on web.
3. (P1) Compare assistant and twin views on both platforms.</t>
  </si>
  <si>
    <t xml:space="preserve">P0: mobile-first core APIs work identically on web for the same scope. P1: full parity is reached, including assistant and twin views, both backed by the same API contracts.</t>
  </si>
  <si>
    <t xml:space="preserve">TC-FR-088</t>
  </si>
  <si>
    <t xml:space="preserve">Protected Farming</t>
  </si>
  <si>
    <t xml:space="preserve">FR-121, FR-122</t>
  </si>
  <si>
    <t xml:space="preserve">Create/manage protected production areas with crop zones</t>
  </si>
  <si>
    <t xml:space="preserve">Authenticated farmer.</t>
  </si>
  <si>
    <t xml:space="preserve">1. Create a shed production area.
2. Create a greenhouse production area.
3. Create a tunnel/polyhouse production area.
4. Add one or more crop zones to each.</t>
  </si>
  <si>
    <t xml:space="preserve">All three protected-area types can be created and each holds one or more crop zones correctly.</t>
  </si>
  <si>
    <t xml:space="preserve">Shed/Greenhouse/Tunnel area types are selectable, but Add-area submission fails silently for all of them. See H-1 step 1.</t>
  </si>
  <si>
    <t xml:space="preserve">TC-FR-089</t>
  </si>
  <si>
    <t xml:space="preserve">FR-123</t>
  </si>
  <si>
    <t xml:space="preserve">Applicable protected attributes stored where available, none mandatory</t>
  </si>
  <si>
    <t xml:space="preserve">A shed production area being configured.</t>
  </si>
  <si>
    <t xml:space="preserve">1. Enter structure type, covered area, crop(s), growing method, growing medium, temperature, humidity, ventilation, irrigation, water source, planting date, growth stage, expected yield, production cost, resource consumption — leaving several fields blank.
2. Save.</t>
  </si>
  <si>
    <t xml:space="preserve">All supplied attributes are stored; the area saves successfully despite the missing (non-mandatory) attributes.</t>
  </si>
  <si>
    <t xml:space="preserve">No protected area can be created to configure attributes on. See H-1.</t>
  </si>
  <si>
    <t xml:space="preserve">TC-FR-090</t>
  </si>
  <si>
    <t xml:space="preserve">FR-124</t>
  </si>
  <si>
    <t xml:space="preserve">Protected-area attributes carry provenance and are never presented as measurements when estimated</t>
  </si>
  <si>
    <t xml:space="preserve">A shed with a third-party-estimated temperature value and no sensor.</t>
  </si>
  <si>
    <t xml:space="preserve">1. View the shed's temperature attribute in the UI.</t>
  </si>
  <si>
    <t xml:space="preserve">Value is clearly labeled with its provenance (e.g., third_party_estimate) and is never presented as an on-site measurement.</t>
  </si>
  <si>
    <t xml:space="preserve">No protected area can be created to inspect attribute provenance on. See H-1.</t>
  </si>
  <si>
    <t xml:space="preserve">TC-FR-091</t>
  </si>
  <si>
    <t xml:space="preserve">FR-125, FR-118</t>
  </si>
  <si>
    <t xml:space="preserve">Environment-aware AI recommendations for protected crops</t>
  </si>
  <si>
    <t xml:space="preserve">A shed cucumber crop zone with temperature/humidity data, versus an open-field cucumber zone.</t>
  </si>
  <si>
    <t xml:space="preserve">1. Request care guidance/plan content for the shed cucumber.
2. Request the same for the open-field cucumber.</t>
  </si>
  <si>
    <t xml:space="preserve">Guidance differs appropriately and is grounded in each zone's actual environment (temperature/humidity/ventilation/growing medium for the shed vs outdoor weather for the open field).</t>
  </si>
  <si>
    <t xml:space="preserve">Needs a real shed crop zone with temperature/humidity data to compare against an open-field crop zone — zone creation fails. See H-1.</t>
  </si>
  <si>
    <t xml:space="preserve">TC-FR-092</t>
  </si>
  <si>
    <t xml:space="preserve">FR-126</t>
  </si>
  <si>
    <t xml:space="preserve">Data model represents protected/experimental areas even before rich P1 UX</t>
  </si>
  <si>
    <t xml:space="preserve">A P0-stage build without full protected-farming UI richness.</t>
  </si>
  <si>
    <t xml:space="preserve">1. Create a shed, greenhouse, tunnel, and experimental production area using whatever P0 UI/API surface exists.</t>
  </si>
  <si>
    <t xml:space="preserve">Each type can be represented in the data model in P0, even if the rich attribute-entry UX ships later in P1.</t>
  </si>
  <si>
    <t xml:space="preserve">Area creation fails at the UI/API layer tested. See H-1.</t>
  </si>
  <si>
    <t xml:space="preserve">TC-FR-093</t>
  </si>
  <si>
    <t xml:space="preserve">Green Farm Intelligence</t>
  </si>
  <si>
    <t xml:space="preserve">FR-127</t>
  </si>
  <si>
    <t xml:space="preserve">Green Farm Intelligence uses only available data, never fabricated</t>
  </si>
  <si>
    <t xml:space="preserve">A farm missing several sustainability-relevant data points (e.g., no rotation history).</t>
  </si>
  <si>
    <t xml:space="preserve">1. View the Green Farm Intelligence output.</t>
  </si>
  <si>
    <t xml:space="preserve">Score/analysis is computed only from available twin data; missing dimensions are omitted or marked unavailable rather than invented.</t>
  </si>
  <si>
    <t xml:space="preserve">Dedicated /green page correctly marks unscored dimensions 'Unavailable' rather than guessing.</t>
  </si>
  <si>
    <t xml:space="preserve">TC-FR-094</t>
  </si>
  <si>
    <t xml:space="preserve">FR-128</t>
  </si>
  <si>
    <t xml:space="preserve">Sustainability dimensions surfaced where data exists</t>
  </si>
  <si>
    <t xml:space="preserve">A farm with water-efficiency and crop-diversity data available, but no soil-health-practice data.</t>
  </si>
  <si>
    <t xml:space="preserve">1. View the sustainability dimension breakdown.</t>
  </si>
  <si>
    <t xml:space="preserve">Water efficiency and crop diversity dimensions are shown with values; soil-health-practice dimension is marked unavailable rather than guessed.</t>
  </si>
  <si>
    <t xml:space="preserve">Only the 2 dimensions with real data (production area size, crop-plan estimate) were scored; others marked unavailable.</t>
  </si>
  <si>
    <t xml:space="preserve">TC-FR-095</t>
  </si>
  <si>
    <t xml:space="preserve">FR-129</t>
  </si>
  <si>
    <t xml:space="preserve">Explainable Green Farm Score with contributing factors and recalculation</t>
  </si>
  <si>
    <t xml:space="preserve">A farm with a computed Green Farm Score.</t>
  </si>
  <si>
    <t xml:space="preserve">1. View the score breakdown (contributing factors, improvement areas, measured vs estimated).
2. Change a relevant twin input (e.g., add a water-efficient irrigation method).
3. Recheck the score.</t>
  </si>
  <si>
    <t xml:space="preserve">Factors and improvement areas are shown; measured vs estimated inputs are distinguished; the score recalculates after the relevant twin data changes.</t>
  </si>
  <si>
    <t xml:space="preserve">M-2</t>
  </si>
  <si>
    <t xml:space="preserve">Score changed from 33 to 49 across two reloads of the same farm with zero data changes in between — recalculation is not stable/deterministic. See M-2.</t>
  </si>
  <si>
    <t xml:space="preserve">TC-FR-096</t>
  </si>
  <si>
    <t xml:space="preserve">FR-130</t>
  </si>
  <si>
    <t xml:space="preserve">Assistant answers sustainability questions with proactive recommendations</t>
  </si>
  <si>
    <t xml:space="preserve">A farm with a computed Green Farm Score and sufficient supporting data.</t>
  </si>
  <si>
    <t xml:space="preserve">1. Ask the assistant 'Why is my Green Farm Score low?' and 'How can I reduce water usage?'</t>
  </si>
  <si>
    <t xml:space="preserve">Assistant explains contributing factors and offers actionable, data-grounded recommendations; may proactively suggest improvements when data supports it.</t>
  </si>
  <si>
    <t xml:space="preserve">Asked 'Is my Green Farm Score accurate given I have no soil or water data?' live — assistant gave a grounded, data-referenced answer with an improvement checklist.</t>
  </si>
  <si>
    <t xml:space="preserve">TC-FR-097</t>
  </si>
  <si>
    <t xml:space="preserve">FR-131</t>
  </si>
  <si>
    <t xml:space="preserve">Green recommendations labeled by source type with disclaimers</t>
  </si>
  <si>
    <t xml:space="preserve">A Green Farm recommendation generated from a mix of rule-based and AI-generated logic.</t>
  </si>
  <si>
    <t xml:space="preserve">1. View a green recommendation.</t>
  </si>
  <si>
    <t xml:space="preserve">Recommendation indicates whether it is data-driven, rule-based, AI-generated, and/or based on estimated third-party information, and includes an advisory disclaimer.</t>
  </si>
  <si>
    <t xml:space="preserve">TC-FR-098</t>
  </si>
  <si>
    <t xml:space="preserve">FR-132</t>
  </si>
  <si>
    <t xml:space="preserve">No certification claims anywhere in Green Score UI/content</t>
  </si>
  <si>
    <t xml:space="preserve">The Green Farm Score feature across all farmer-facing surfaces.</t>
  </si>
  <si>
    <t xml:space="preserve">1. Review all Green Farm Score screens, tooltips, exports, and assistant answers referencing the score.</t>
  </si>
  <si>
    <t xml:space="preserve">No wording anywhere states or implies government, environmental, or scientific certification, or guaranteed sustainability compliance.</t>
  </si>
  <si>
    <t xml:space="preserve">No certification/guarantee language observed on any Green Score screen or assistant answer reviewed.</t>
  </si>
  <si>
    <t xml:space="preserve">TC-FR-099</t>
  </si>
  <si>
    <t xml:space="preserve">FR-133</t>
  </si>
  <si>
    <t xml:space="preserve">Green optimization never overrides core suitability/risk constraints</t>
  </si>
  <si>
    <t xml:space="preserve">A portfolio scenario where the 'greenest' option is unsuitable for season/soil/environment or carries unacceptable risk.</t>
  </si>
  <si>
    <t xml:space="preserve">1. Request a portfolio recommendation in this scenario.</t>
  </si>
  <si>
    <t xml:space="preserve">Recommendation does not select the greenest-but-unsuitable option purely for sustainability; FR-117 constraints are respected.</t>
  </si>
  <si>
    <t xml:space="preserve">Needs a real portfolio recommendation across multiple crop zones to test — zone creation fails. See H-1.</t>
  </si>
  <si>
    <t xml:space="preserve">HAPPY VEGGIE — Non-Functional Test Cases</t>
  </si>
  <si>
    <t xml:space="preserve">TC-NFR-001</t>
  </si>
  <si>
    <t xml:space="preserve">NFR</t>
  </si>
  <si>
    <t xml:space="preserve">NFR-001</t>
  </si>
  <si>
    <t xml:space="preserve">Plan generation completes within ~60s (p95)</t>
  </si>
  <si>
    <t xml:space="preserve">Normal operating conditions, LLM provider healthy.</t>
  </si>
  <si>
    <t xml:space="preserve">1. Trigger plan generation 20+ times under normal load.
2. Measure p95 latency.</t>
  </si>
  <si>
    <t xml:space="preserve">p95 completion time is within the documented SLO (~60s target); actual SLO is recorded in the ops runbook.</t>
  </si>
  <si>
    <t xml:space="preserve">Performance</t>
  </si>
  <si>
    <t xml:space="preserve">TC-NFR-002</t>
  </si>
  <si>
    <t xml:space="preserve">NFR-002</t>
  </si>
  <si>
    <t xml:space="preserve">Mobile-first responsive UI on low/mid-range Android</t>
  </si>
  <si>
    <t xml:space="preserve">A low-to-mid-range Android test device or emulator profile.</t>
  </si>
  <si>
    <t xml:space="preserve">1. Load core farmer flows on the low/mid-range device profile.</t>
  </si>
  <si>
    <t xml:space="preserve">UI renders usably with responsive layout and acceptable performance.</t>
  </si>
  <si>
    <t xml:space="preserve">Usability</t>
  </si>
  <si>
    <t xml:space="preserve">TC-NFR-003</t>
  </si>
  <si>
    <t xml:space="preserve">NFR-003</t>
  </si>
  <si>
    <t xml:space="preserve">New farmer reaches a plan without external assistance</t>
  </si>
  <si>
    <t xml:space="preserve">A first-time user with no prior product training.</t>
  </si>
  <si>
    <t xml:space="preserve">1. Have an unassisted new user attempt onboarding through to receiving a plan.</t>
  </si>
  <si>
    <t xml:space="preserve">User completes onboarding and receives a plan without needing outside help/documentation.</t>
  </si>
  <si>
    <t xml:space="preserve">TC-NFR-004</t>
  </si>
  <si>
    <t xml:space="preserve">NFR-004</t>
  </si>
  <si>
    <t xml:space="preserve">All farmer UI and generated content (incl. PDFs) render correctly Urdu RTL / English LTR</t>
  </si>
  <si>
    <t xml:space="preserve">Generated plan with PDF export enabled.</t>
  </si>
  <si>
    <t xml:space="preserve">1. View core screens and export a plan to PDF in Urdu.
2. Repeat in English.</t>
  </si>
  <si>
    <t xml:space="preserve">Urdu renders correct RTL layout throughout, including the PDF; English renders correct LTR; no mirrored/garbled text.</t>
  </si>
  <si>
    <t xml:space="preserve">Confirmed at the state level: htmlLang/dir, hv_farmer_language, and profile.language all stay 'en'/'ltr' after selecting Urdu. PDF export doesn't exist yet either (see M-6), so it's untestable in Urdu.</t>
  </si>
  <si>
    <t xml:space="preserve">TC-NFR-005</t>
  </si>
  <si>
    <t xml:space="preserve">NFR-005</t>
  </si>
  <si>
    <t xml:space="preserve">Clear retry path on LLM/feed failure/timeout</t>
  </si>
  <si>
    <t xml:space="preserve">LLM or weather/soil feed forced to time out.</t>
  </si>
  <si>
    <t xml:space="preserve">1. Trigger the timeout during plan generation or twin refresh.</t>
  </si>
  <si>
    <t xml:space="preserve">A clear, localized retry option is presented; core flow proceeds without the unavailable enrichment rather than hard-failing.</t>
  </si>
  <si>
    <t xml:space="preserve">Reliability</t>
  </si>
  <si>
    <t xml:space="preserve">TC-NFR-006</t>
  </si>
  <si>
    <t xml:space="preserve">NFR-006</t>
  </si>
  <si>
    <t xml:space="preserve">Phone/location/farm data secured; access owner/admin-restricted; aggregates never expose individuals</t>
  </si>
  <si>
    <t xml:space="preserve">Farmer data plus a regional aggregate feature.</t>
  </si>
  <si>
    <t xml:space="preserve">1. Attempt unauthorized access to another farmer's phone/location/farm data.
2. Inspect a regional aggregate response for identifying detail.</t>
  </si>
  <si>
    <t xml:space="preserve">Unauthorized access is denied; aggregate responses contain no individual-identifying information.</t>
  </si>
  <si>
    <t xml:space="preserve">Security</t>
  </si>
  <si>
    <t xml:space="preserve">TC-NFR-007</t>
  </si>
  <si>
    <t xml:space="preserve">NFR-007</t>
  </si>
  <si>
    <t xml:space="preserve">LLM usage token-bounded per request type; cost visible to admin</t>
  </si>
  <si>
    <t xml:space="preserve">Admin console with LLM usage.</t>
  </si>
  <si>
    <t xml:space="preserve">1. Trigger an LLM-backed request and confirm a token bound is enforced.
2. View admin cost dashboard.</t>
  </si>
  <si>
    <t xml:space="preserve">Requests respect configured token bounds per request type; cost figures are visible to admins.</t>
  </si>
  <si>
    <t xml:space="preserve">TC-NFR-008</t>
  </si>
  <si>
    <t xml:space="preserve">NFR-008</t>
  </si>
  <si>
    <t xml:space="preserve">Privileged admin actions audit-logged</t>
  </si>
  <si>
    <t xml:space="preserve">Admin performs a privileged action (e.g., rate update, catalog edit).</t>
  </si>
  <si>
    <t xml:space="preserve">1. Perform the action.
2. Inspect the audit log.</t>
  </si>
  <si>
    <t xml:space="preserve">Action appears in the audit log with actor, action, target, and timestamp.</t>
  </si>
  <si>
    <t xml:space="preserve">TC-NFR-009</t>
  </si>
  <si>
    <t xml:space="preserve">NFR-009</t>
  </si>
  <si>
    <t xml:space="preserve">Farmer clients share API contracts and localization resources</t>
  </si>
  <si>
    <t xml:space="preserve">Web and mobile clients pointed at the same backend/localization resource bundle.</t>
  </si>
  <si>
    <t xml:space="preserve">1. Compare API contract versions and localization strings used by both clients.</t>
  </si>
  <si>
    <t xml:space="preserve">Both clients consume identical API contracts and localization resources with no platform-specific drift.</t>
  </si>
  <si>
    <t xml:space="preserve">Compatibility</t>
  </si>
  <si>
    <t xml:space="preserve">TC-NFR-010</t>
  </si>
  <si>
    <t xml:space="preserve">NFR-010</t>
  </si>
  <si>
    <t xml:space="preserve">API availability ≥ 99.5% monthly excluding planned maintenance</t>
  </si>
  <si>
    <t xml:space="preserve">Production monitoring data for a full calendar month.</t>
  </si>
  <si>
    <t xml:space="preserve">1. Review uptime monitoring/incident logs for the month.</t>
  </si>
  <si>
    <t xml:space="preserve">Measured availability meets or exceeds 99.5% excluding documented planned maintenance windows.</t>
  </si>
  <si>
    <t xml:space="preserve">TC-NFR-011</t>
  </si>
  <si>
    <t xml:space="preserve">NFR-011</t>
  </si>
  <si>
    <t xml:space="preserve">Assistant latency SLO (e.g., p95 ≤ 15s for non-tool-heavy turns)</t>
  </si>
  <si>
    <t xml:space="preserve">Normal load, assistant endpoint healthy.</t>
  </si>
  <si>
    <t xml:space="preserve">1. Send 20+ non-tool-heavy assistant turns.
2. Measure first-token/short-answer p95 latency.</t>
  </si>
  <si>
    <t xml:space="preserve">p95 latency meets the defined SLO; longer analyses are handled as async jobs with progress indication.</t>
  </si>
  <si>
    <t xml:space="preserve">TC-NFR-012</t>
  </si>
  <si>
    <t xml:space="preserve">NFR-012</t>
  </si>
  <si>
    <t xml:space="preserve">TLS in transit; secrets in a secret manager; least-privilege IAM; OWASP-aligned hardening</t>
  </si>
  <si>
    <t xml:space="preserve">Running API + infrastructure configuration.</t>
  </si>
  <si>
    <t xml:space="preserve">1. Attempt a plaintext HTTP connection to the API.
2. Scan for secrets in client bundles/config.
3. Run an OWASP API security scan (authn/z, rate limiting, input validation) against key endpoints.</t>
  </si>
  <si>
    <t xml:space="preserve">Plaintext connections are rejected/redirected to TLS; no secrets found in clients; scan finds no high-severity OWASP API issues.</t>
  </si>
  <si>
    <t xml:space="preserve">TC-NFR-013</t>
  </si>
  <si>
    <t xml:space="preserve">NFR-013</t>
  </si>
  <si>
    <t xml:space="preserve">Structured logs/metrics/tracing for twin refresh, provider calls, LLM calls, errors; no secrets logged</t>
  </si>
  <si>
    <t xml:space="preserve">Twin refresh and an LLM call triggered.</t>
  </si>
  <si>
    <t xml:space="preserve">1. Trigger a twin refresh and an assistant call.
2. Inspect logs, metrics, and traces.</t>
  </si>
  <si>
    <t xml:space="preserve">Structured log entries, metrics, and traces exist for each operation; no secret values appear in any log line.</t>
  </si>
  <si>
    <t xml:space="preserve">Observability</t>
  </si>
  <si>
    <t xml:space="preserve">TC-NFR-014</t>
  </si>
  <si>
    <t xml:space="preserve">NFR-014</t>
  </si>
  <si>
    <t xml:space="preserve">Privacy policy/consent for location &amp; phone; documented deletion path</t>
  </si>
  <si>
    <t xml:space="preserve">A farmer requesting account/data deletion.</t>
  </si>
  <si>
    <t xml:space="preserve">1. Review consent presented at signup for location/phone use.
2. Submit a data-deletion request.</t>
  </si>
  <si>
    <t xml:space="preserve">Consent is clearly presented before location/phone capture; deletion request is honored per the documented SLA (soft-delete/anonymize).</t>
  </si>
  <si>
    <t xml:space="preserve">Privacy/Compliance</t>
  </si>
  <si>
    <t xml:space="preserve">TC-NFR-015</t>
  </si>
  <si>
    <t xml:space="preserve">NFR-015</t>
  </si>
  <si>
    <t xml:space="preserve">Provider adapters isolated behind interfaces with circuit breakers/timeouts</t>
  </si>
  <si>
    <t xml:space="preserve">Weather provider forced to become slow/unresponsive.</t>
  </si>
  <si>
    <t xml:space="preserve">1. Simulate a slow/unresponsive weather provider.
2. Observe system behavior over repeated calls.</t>
  </si>
  <si>
    <t xml:space="preserve">Calls time out and a circuit breaker trips after repeated failures, preventing cascading slowness elsewhere in the system.</t>
  </si>
  <si>
    <t xml:space="preserve">TC-NFR-016</t>
  </si>
  <si>
    <t xml:space="preserve">NFR-016</t>
  </si>
  <si>
    <t xml:space="preserve">Twin refresh and LLM jobs are asynchronously queueable under load</t>
  </si>
  <si>
    <t xml:space="preserve">A burst of twin-refresh/LLM requests exceeding immediate processing capacity.</t>
  </si>
  <si>
    <t xml:space="preserve">1. Generate a burst of requests beyond normal capacity.</t>
  </si>
  <si>
    <t xml:space="preserve">Excess jobs queue and process asynchronously rather than failing outright or blocking the caller.</t>
  </si>
  <si>
    <t xml:space="preserve">Scalability</t>
  </si>
  <si>
    <t xml:space="preserve">TC-NFR-017</t>
  </si>
  <si>
    <t xml:space="preserve">NFR-017</t>
  </si>
  <si>
    <t xml:space="preserve">Advisory disclaimer on all AI yield/price/action advice</t>
  </si>
  <si>
    <t xml:space="preserve">Any generated plan, economics table, or assistant recommendation.</t>
  </si>
  <si>
    <t xml:space="preserve">1. Inspect a plan, an economics table, and an assistant recommendation.</t>
  </si>
  <si>
    <t xml:space="preserve">Each surface includes a visible advisory disclaimer that the content is not a guarantee.</t>
  </si>
  <si>
    <t xml:space="preserve">Compliance</t>
  </si>
  <si>
    <t xml:space="preserve">Disclaimer present on plan output, assistant answers, and Green Score explanations in every live check.</t>
  </si>
  <si>
    <t xml:space="preserve">TC-NFR-018</t>
  </si>
  <si>
    <t xml:space="preserve">NFR-018</t>
  </si>
  <si>
    <t xml:space="preserve">Automated backups with tested restore; documented RPO/RTO</t>
  </si>
  <si>
    <t xml:space="preserve">Production/staging database with backup automation configured.</t>
  </si>
  <si>
    <t xml:space="preserve">1. Confirm automated backup job ran.
2. Perform a test restore into a non-production environment.
3. Measure time to restore and data currency.</t>
  </si>
  <si>
    <t xml:space="preserve">Restore succeeds; measured RPO/RTO are within the documented targets.</t>
  </si>
  <si>
    <t xml:space="preserve">TC-NFR-019</t>
  </si>
  <si>
    <t xml:space="preserve">NFR-019</t>
  </si>
  <si>
    <t xml:space="preserve">Rate limiting on OTP, LLM, and assistant endpoints per farmer/phone</t>
  </si>
  <si>
    <t xml:space="preserve">A single phone number/account.</t>
  </si>
  <si>
    <t xml:space="preserve">1. Rapidly repeat OTP requests for the same phone number beyond the configured limit.
2. Repeat for assistant/LLM endpoints.</t>
  </si>
  <si>
    <t xml:space="preserve">Requests beyond the limit are throttled/rejected with a clear rate-limit response.</t>
  </si>
  <si>
    <t xml:space="preserve">TC-NFR-020</t>
  </si>
  <si>
    <t xml:space="preserve">NFR-020</t>
  </si>
  <si>
    <t xml:space="preserve">Core web flows meet WCAG 2.1 AA where feasible</t>
  </si>
  <si>
    <t xml:space="preserve">Core farmer web flows.</t>
  </si>
  <si>
    <t xml:space="preserve">1. Run an automated accessibility audit (e.g., axe) plus manual keyboard/screen-reader spot checks on core flows.</t>
  </si>
  <si>
    <t xml:space="preserve">No critical WCAG 2.1 AA violations on core flows; issues found are documented for remediation.</t>
  </si>
  <si>
    <t xml:space="preserve">Accessibility</t>
  </si>
  <si>
    <t xml:space="preserve">TC-NFR-021</t>
  </si>
  <si>
    <t xml:space="preserve">NFR-021</t>
  </si>
  <si>
    <t xml:space="preserve">Stack compliance: ASP.NET Core + EF Core + CQRS + SQL Server; React functional components only</t>
  </si>
  <si>
    <t xml:space="preserve">Full backend and frontend source repositories.</t>
  </si>
  <si>
    <t xml:space="preserve">1. Review backend for ASP.NET Core, EF Core migrations, and CQRS command/query handler structure.
2. Scan React source for any class components.</t>
  </si>
  <si>
    <t xml:space="preserve">Backend matches the mandated stack and CQRS pattern; no class components exist in either farmer or admin React apps.</t>
  </si>
  <si>
    <t xml:space="preserve">Architecture/Compliance</t>
  </si>
  <si>
    <t xml:space="preserve">TC-NFR-022</t>
  </si>
  <si>
    <t xml:space="preserve">NFR-022</t>
  </si>
  <si>
    <t xml:space="preserve">No fabricated sustainability/environment data; missing inputs marked unavailable</t>
  </si>
  <si>
    <t xml:space="preserve">A farm with partial protected-environment and sustainability data.</t>
  </si>
  <si>
    <t xml:space="preserve">1. Inspect Green Farm Score and protected-area attribute displays for any value not traceable to a real input.</t>
  </si>
  <si>
    <t xml:space="preserve">Every displayed value traces to farmer-provided, third-party, observed, or system-derived data; anything missing is marked unavailable, never invented.</t>
  </si>
  <si>
    <t xml:space="preserve">Data Quality</t>
  </si>
  <si>
    <t xml:space="preserve">HAPPY VEGGIE — External Interface Test Cases</t>
  </si>
  <si>
    <t xml:space="preserve">TC-EIR-001</t>
  </si>
  <si>
    <t xml:space="preserve">External Interfaces</t>
  </si>
  <si>
    <t xml:space="preserve">EIR-001</t>
  </si>
  <si>
    <t xml:space="preserve">Farmer UI available on web and mobile, responsive</t>
  </si>
  <si>
    <t xml:space="preserve">Web browser and mobile device/emulator.</t>
  </si>
  <si>
    <t xml:space="preserve">1. Load the farmer app on web.
2. Load it on a mobile device.</t>
  </si>
  <si>
    <t xml:space="preserve">Both render correctly and responsively to their respective device sizes.</t>
  </si>
  <si>
    <t xml:space="preserve">TC-EIR-002</t>
  </si>
  <si>
    <t xml:space="preserve">EIR-002</t>
  </si>
  <si>
    <t xml:space="preserve">All farmer UI renders correctly Urdu RTL / English LTR incl. exports</t>
  </si>
  <si>
    <t xml:space="preserve">Core screens plus an exported document (PDF/plan).</t>
  </si>
  <si>
    <t xml:space="preserve">1. View core screens and export a document in each language.</t>
  </si>
  <si>
    <t xml:space="preserve">Both languages render correctly, including exported documents.</t>
  </si>
  <si>
    <t xml:space="preserve">Same state-level evidence as NFR-004 — see H-2.</t>
  </si>
  <si>
    <t xml:space="preserve">TC-EIR-003</t>
  </si>
  <si>
    <t xml:space="preserve">EIR-003</t>
  </si>
  <si>
    <t xml:space="preserve">Shared ASP.NET Core API consumed by farmer clients and privileged admin console</t>
  </si>
  <si>
    <t xml:space="preserve">Farmer client and admin console pointed at the same API base.</t>
  </si>
  <si>
    <t xml:space="preserve">1. Call a farmer endpoint from the farmer client.
2. Call an admin-scoped endpoint from the admin console.</t>
  </si>
  <si>
    <t xml:space="preserve">Both consume the same shared ASP.NET Core backend; admin-scoped calls require privileged access.</t>
  </si>
  <si>
    <t xml:space="preserve">TC-EIR-004</t>
  </si>
  <si>
    <t xml:space="preserve">EIR-004</t>
  </si>
  <si>
    <t xml:space="preserve">LLM provider integration for plans, care guidance, assistant</t>
  </si>
  <si>
    <t xml:space="preserve">Configured LLM provider.</t>
  </si>
  <si>
    <t xml:space="preserve">1. Trigger plan generation, care guidance, and an assistant query.</t>
  </si>
  <si>
    <t xml:space="preserve">All three features successfully call the configured LLM provider and return generated content.</t>
  </si>
  <si>
    <t xml:space="preserve">TC-EIR-005</t>
  </si>
  <si>
    <t xml:space="preserve">EIR-005</t>
  </si>
  <si>
    <t xml:space="preserve">Weather provider integration; failure doesn't block core CRUD/last-known twin</t>
  </si>
  <si>
    <t xml:space="preserve">Weather provider forced to fail.</t>
  </si>
  <si>
    <t xml:space="preserve">1. Simulate weather provider failure.
2. Perform farm CRUD and view the twin.</t>
  </si>
  <si>
    <t xml:space="preserve">Farm CRUD succeeds normally; twin shows the last-known weather snapshot rather than blocking the view.</t>
  </si>
  <si>
    <t xml:space="preserve">TC-EIR-006</t>
  </si>
  <si>
    <t xml:space="preserve">EIR-006</t>
  </si>
  <si>
    <t xml:space="preserve">Soil/agri provider integration by coordinates, graceful degradation</t>
  </si>
  <si>
    <t xml:space="preserve">Soil provider forced to fail for a given farm's coordinates.</t>
  </si>
  <si>
    <t xml:space="preserve">1. Simulate soil provider failure.
2. View the twin's soil section.</t>
  </si>
  <si>
    <t xml:space="preserve">Soil section degrades gracefully (e.g., marked unavailable) without blocking the rest of the twin.</t>
  </si>
  <si>
    <t xml:space="preserve">TC-EIR-007</t>
  </si>
  <si>
    <t xml:space="preserve">EIR-007</t>
  </si>
  <si>
    <t xml:space="preserve">Native GPS (mobile) / browser geolocation (web) integration</t>
  </si>
  <si>
    <t xml:space="preserve">Mobile device and web browser, each with location permission available.</t>
  </si>
  <si>
    <t xml:space="preserve">1. Trigger location capture on mobile.
2. Trigger location capture on web.</t>
  </si>
  <si>
    <t xml:space="preserve">Both platforms successfully obtain and store device location via their respective native/browser APIs.</t>
  </si>
  <si>
    <t xml:space="preserve">TC-EIR-008</t>
  </si>
  <si>
    <t xml:space="preserve">EIR-008</t>
  </si>
  <si>
    <t xml:space="preserve">SMS/OTP live and mock modes behind config with identical client contracts</t>
  </si>
  <si>
    <t xml:space="preserve">Environment configurable between OTP_MODE=mock and live.</t>
  </si>
  <si>
    <t xml:space="preserve">1. Run the OTP flow in mock mode.
2. Run the OTP flow in live mode (if available in a test environment).</t>
  </si>
  <si>
    <t xml:space="preserve">Both modes expose identical request/response contracts to the client; only the underlying delivery mechanism differs.</t>
  </si>
  <si>
    <t xml:space="preserve">TC-EIR-009</t>
  </si>
  <si>
    <t xml:space="preserve">EIR-009</t>
  </si>
  <si>
    <t xml:space="preserve">Government crop reference rate ingestion, labeled as reference values</t>
  </si>
  <si>
    <t xml:space="preserve">Admin rate ingestion tool/API.</t>
  </si>
  <si>
    <t xml:space="preserve">1. Ingest a new government reference rate via admin upload/API.
2. View it surfaced in an economics computation.</t>
  </si>
  <si>
    <t xml:space="preserve">Rate is ingested successfully and always labeled as a historical reference value wherever displayed.</t>
  </si>
  <si>
    <t xml:space="preserve">TC-EIR-010</t>
  </si>
  <si>
    <t xml:space="preserve">EIR-010</t>
  </si>
  <si>
    <t xml:space="preserve">All external provider credentials stored server-side only</t>
  </si>
  <si>
    <t xml:space="preserve">Farmer client application bundle (web/mobile) and network traffic.</t>
  </si>
  <si>
    <t xml:space="preserve">1. Inspect client bundle source/config and network requests from the client for any provider API key/secret.</t>
  </si>
  <si>
    <t xml:space="preserve">No weather/soil/LLM/SMS provider credential is ever present in a farmer client bundle or client-originated network call.</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</si>
</sst>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8"/>
      <color rgb="FF1F4E3D"/>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b val="true"/>
      <sz val="16"/>
      <color rgb="FF1F4E3D"/>
      <name val="Arial"/>
      <family val="0"/>
      <charset val="1"/>
    </font>
  </fonts>
  <fills count="9">
    <fill>
      <patternFill patternType="none"/>
    </fill>
    <fill>
      <patternFill patternType="gray125"/>
    </fill>
    <fill>
      <patternFill patternType="solid">
        <fgColor rgb="FF1F4E3D"/>
        <bgColor rgb="FF003366"/>
      </patternFill>
    </fill>
    <fill>
      <patternFill patternType="solid">
        <fgColor rgb="FFFDEDEC"/>
        <bgColor rgb="FFFEF9E7"/>
      </patternFill>
    </fill>
    <fill>
      <patternFill patternType="solid">
        <fgColor rgb="FFD5F0DA"/>
        <bgColor rgb="FFEAF2F8"/>
      </patternFill>
    </fill>
    <fill>
      <patternFill patternType="solid">
        <fgColor rgb="FFF8D7CE"/>
        <bgColor rgb="FFFCE8C6"/>
      </patternFill>
    </fill>
    <fill>
      <patternFill patternType="solid">
        <fgColor rgb="FFEAF2F8"/>
        <bgColor rgb="FFFDEDEC"/>
      </patternFill>
    </fill>
    <fill>
      <patternFill patternType="solid">
        <fgColor rgb="FFFCE8C6"/>
        <bgColor rgb="FFFDEDEC"/>
      </patternFill>
    </fill>
    <fill>
      <patternFill patternType="solid">
        <fgColor rgb="FFFEF9E7"/>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3D"/>
          <bgColor rgb="FF000000"/>
        </patternFill>
      </fill>
    </dxf>
    <dxf>
      <fill>
        <patternFill patternType="solid">
          <bgColor rgb="FF000000"/>
        </patternFill>
      </fill>
    </dxf>
    <dxf>
      <fill>
        <patternFill patternType="solid">
          <fgColor rgb="FFFFFFFF"/>
          <bgColor rgb="FF000000"/>
        </patternFill>
      </fill>
    </dxf>
    <dxf>
      <fill>
        <patternFill patternType="solid">
          <fgColor rgb="FFEAF2F8"/>
          <bgColor rgb="FF000000"/>
        </patternFill>
      </fill>
    </dxf>
    <dxf>
      <fill>
        <patternFill patternType="solid">
          <fgColor rgb="FFFDEDEC"/>
          <bgColor rgb="FF000000"/>
        </patternFill>
      </fill>
    </dxf>
    <dxf>
      <fill>
        <patternFill patternType="solid">
          <fgColor rgb="FFFEF9E7"/>
          <bgColor rgb="FF000000"/>
        </patternFill>
      </fill>
    </dxf>
    <dxf>
      <fill>
        <patternFill patternType="solid">
          <fgColor rgb="FFD5F0DA"/>
          <bgColor rgb="FF000000"/>
        </patternFill>
      </fill>
    </dxf>
    <dxf>
      <fill>
        <patternFill patternType="solid">
          <fgColor rgb="FFF8D7CE"/>
          <bgColor rgb="FF000000"/>
        </patternFill>
      </fill>
    </dxf>
    <dxf>
      <fill>
        <patternFill patternType="solid">
          <fgColor rgb="FFFCE8C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9E7"/>
      <rgbColor rgb="FFEAF2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DEDEC"/>
      <rgbColor rgb="FFD5F0DA"/>
      <rgbColor rgb="FFFCE8C6"/>
      <rgbColor rgb="FF99CCFF"/>
      <rgbColor rgb="FFFF99CC"/>
      <rgbColor rgb="FFCC99FF"/>
      <rgbColor rgb="FFF8D7CE"/>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EIR" displayName="TblEIR" ref="A4:M14" headerRowCount="1" totalsRowCount="0" totalsRowShown="0">
  <autoFilter ref="A4:M14"/>
  <tableColumns count="13">
    <tableColumn id="1" name="Test Case ID"/>
    <tableColumn id="2" name="Module"/>
    <tableColumn id="3" name="Req ID(s)"/>
    <tableColumn id="4" name="Priority"/>
    <tableColumn id="5" name="Phase"/>
    <tableColumn id="6" name="Test Case Title"/>
    <tableColumn id="7" name="Preconditions"/>
    <tableColumn id="8" name="Test Steps"/>
    <tableColumn id="9" name="Expected Result"/>
    <tableColumn id="10" name="Test Type"/>
    <tableColumn id="11" name="Status"/>
    <tableColumn id="12" name="Defect Ref"/>
    <tableColumn id="13" name="Actual Result / Retest Notes (5 Sept 2026 run)"/>
  </tableColumns>
</table>
</file>

<file path=xl/tables/table2.xml><?xml version="1.0" encoding="utf-8"?>
<table xmlns="http://schemas.openxmlformats.org/spreadsheetml/2006/main" id="2" name="TblFR" displayName="TblFR" ref="A4:M103" headerRowCount="1" totalsRowCount="0" totalsRowShown="0">
  <autoFilter ref="A4:M103"/>
  <tableColumns count="13">
    <tableColumn id="1" name="Test Case ID"/>
    <tableColumn id="2" name="Module"/>
    <tableColumn id="3" name="Req ID(s)"/>
    <tableColumn id="4" name="Priority"/>
    <tableColumn id="5" name="Phase"/>
    <tableColumn id="6" name="Test Case Title"/>
    <tableColumn id="7" name="Preconditions"/>
    <tableColumn id="8" name="Test Steps"/>
    <tableColumn id="9" name="Expected Result"/>
    <tableColumn id="10" name="Test Type"/>
    <tableColumn id="11" name="Status"/>
    <tableColumn id="12" name="Defect Ref"/>
    <tableColumn id="13" name="Actual Result / Retest Notes (5 Sept 2026 run)"/>
  </tableColumns>
</table>
</file>

<file path=xl/tables/table3.xml><?xml version="1.0" encoding="utf-8"?>
<table xmlns="http://schemas.openxmlformats.org/spreadsheetml/2006/main" id="3" name="TblNFR" displayName="TblNFR" ref="A4:M26" headerRowCount="1" totalsRowCount="0" totalsRowShown="0">
  <autoFilter ref="A4:M26"/>
  <tableColumns count="13">
    <tableColumn id="1" name="Test Case ID"/>
    <tableColumn id="2" name="Module"/>
    <tableColumn id="3" name="Req ID(s)"/>
    <tableColumn id="4" name="Priority"/>
    <tableColumn id="5" name="Phase"/>
    <tableColumn id="6" name="Test Case Title"/>
    <tableColumn id="7" name="Preconditions"/>
    <tableColumn id="8" name="Test Steps"/>
    <tableColumn id="9" name="Expected Result"/>
    <tableColumn id="10" name="Test Type"/>
    <tableColumn id="11" name="Status"/>
    <tableColumn id="12" name="Defect Ref"/>
    <tableColumn id="13" name="Actual Result / Retest Notes (5 Sept 2026 ru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s>
  <sheetData>
    <row r="1" customFormat="false" ht="22.05" hidden="false" customHeight="false" outlineLevel="0" collapsed="false">
      <c r="A1" s="1" t="s">
        <v>0</v>
      </c>
      <c r="B1" s="1"/>
    </row>
    <row r="2" customFormat="false" ht="15" hidden="false" customHeight="false" outlineLevel="0" collapsed="false">
      <c r="A2" s="2" t="s">
        <v>1</v>
      </c>
      <c r="B2" s="2"/>
    </row>
    <row r="4" customFormat="false" ht="45.75" hidden="false" customHeight="true" outlineLevel="0" collapsed="false">
      <c r="A4" s="3" t="s">
        <v>2</v>
      </c>
      <c r="B4" s="4" t="s">
        <v>3</v>
      </c>
    </row>
    <row r="5" customFormat="false" ht="45.75" hidden="false" customHeight="true" outlineLevel="0" collapsed="false">
      <c r="A5" s="3" t="s">
        <v>4</v>
      </c>
      <c r="B5" s="4" t="s">
        <v>5</v>
      </c>
    </row>
    <row r="6" customFormat="false" ht="45.75" hidden="false" customHeight="true" outlineLevel="0" collapsed="false">
      <c r="A6" s="3" t="s">
        <v>6</v>
      </c>
      <c r="B6" s="4" t="s">
        <v>7</v>
      </c>
    </row>
    <row r="7" customFormat="false" ht="45.75" hidden="false" customHeight="true" outlineLevel="0" collapsed="false">
      <c r="A7" s="3" t="s">
        <v>8</v>
      </c>
      <c r="B7" s="4" t="s">
        <v>9</v>
      </c>
    </row>
    <row r="8" customFormat="false" ht="45.75" hidden="false" customHeight="true" outlineLevel="0" collapsed="false">
      <c r="A8" s="3" t="s">
        <v>10</v>
      </c>
      <c r="B8" s="4" t="s">
        <v>11</v>
      </c>
    </row>
    <row r="9" customFormat="false" ht="45.75" hidden="false" customHeight="true" outlineLevel="0" collapsed="false">
      <c r="A9" s="3" t="s">
        <v>12</v>
      </c>
      <c r="B9" s="4" t="s">
        <v>13</v>
      </c>
    </row>
    <row r="10" customFormat="false" ht="45.75" hidden="false" customHeight="true" outlineLevel="0" collapsed="false">
      <c r="A10" s="3" t="s">
        <v>14</v>
      </c>
      <c r="B10" s="4" t="s">
        <v>15</v>
      </c>
    </row>
    <row r="11" customFormat="false" ht="45.75" hidden="false" customHeight="true" outlineLevel="0" collapsed="false">
      <c r="A11" s="3" t="s">
        <v>16</v>
      </c>
      <c r="B11" s="4" t="s">
        <v>17</v>
      </c>
    </row>
    <row r="12" customFormat="false" ht="45.75" hidden="false" customHeight="true" outlineLevel="0" collapsed="false">
      <c r="A12" s="3" t="s">
        <v>18</v>
      </c>
      <c r="B12" s="4" t="s">
        <v>19</v>
      </c>
    </row>
    <row r="13" customFormat="false" ht="45.75" hidden="false" customHeight="true" outlineLevel="0" collapsed="false">
      <c r="A13" s="3" t="s">
        <v>20</v>
      </c>
      <c r="B13" s="4" t="s">
        <v>21</v>
      </c>
    </row>
    <row r="15" customFormat="false" ht="15" hidden="false" customHeight="false" outlineLevel="0" collapsed="false">
      <c r="A15" s="5" t="s">
        <v>22</v>
      </c>
    </row>
    <row r="16" customFormat="false" ht="15" hidden="false" customHeight="false" outlineLevel="0" collapsed="false">
      <c r="A16" s="6" t="s">
        <v>23</v>
      </c>
      <c r="B16" s="6" t="s">
        <v>24</v>
      </c>
    </row>
    <row r="17" customFormat="false" ht="15" hidden="false" customHeight="false" outlineLevel="0" collapsed="false">
      <c r="A17" s="7" t="s">
        <v>25</v>
      </c>
      <c r="B17" s="7" t="n">
        <v>99</v>
      </c>
    </row>
    <row r="18" customFormat="false" ht="15" hidden="false" customHeight="false" outlineLevel="0" collapsed="false">
      <c r="A18" s="7" t="s">
        <v>26</v>
      </c>
      <c r="B18" s="7" t="n">
        <v>22</v>
      </c>
    </row>
    <row r="19" customFormat="false" ht="15" hidden="false" customHeight="false" outlineLevel="0" collapsed="false">
      <c r="A19" s="7" t="s">
        <v>27</v>
      </c>
      <c r="B19" s="7" t="n">
        <v>10</v>
      </c>
    </row>
    <row r="20" customFormat="false" ht="15" hidden="false" customHeight="false" outlineLevel="0" collapsed="false">
      <c r="A20" s="5" t="s">
        <v>28</v>
      </c>
      <c r="B20" s="5" t="n">
        <f aca="false">SUM(B17:B19)</f>
        <v>131</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2"/>
    <col collapsed="false" customWidth="true" hidden="false" outlineLevel="0" max="5" min="5" style="0" width="14"/>
  </cols>
  <sheetData>
    <row r="1" customFormat="false" ht="19.7" hidden="false" customHeight="false" outlineLevel="0" collapsed="false">
      <c r="A1" s="8" t="s">
        <v>29</v>
      </c>
      <c r="B1" s="8"/>
      <c r="C1" s="8"/>
      <c r="D1" s="8"/>
      <c r="E1" s="8"/>
    </row>
    <row r="3" customFormat="false" ht="23.85" hidden="false" customHeight="false" outlineLevel="0" collapsed="false">
      <c r="A3" s="9" t="s">
        <v>30</v>
      </c>
      <c r="B3" s="9" t="s">
        <v>31</v>
      </c>
      <c r="C3" s="9" t="s">
        <v>32</v>
      </c>
      <c r="D3" s="9" t="s">
        <v>33</v>
      </c>
      <c r="E3" s="9" t="s">
        <v>28</v>
      </c>
    </row>
    <row r="4" customFormat="false" ht="15" hidden="false" customHeight="false" outlineLevel="0" collapsed="false">
      <c r="A4" s="10" t="s">
        <v>34</v>
      </c>
      <c r="B4" s="10" t="n">
        <f aca="false">COUNTIF('Functional Test Cases'!D:D,"Must")+SUMPRODUCT(ISNUMBER(SEARCH("Must/",'Functional Test Cases'!D:D))*1)</f>
        <v>71</v>
      </c>
      <c r="C4" s="10" t="n">
        <f aca="false">COUNTIF('Non-Functional Test Cases'!D:D,"Must")+SUMPRODUCT(ISNUMBER(SEARCH("Must/",'Non-Functional Test Cases'!D:D))*1)</f>
        <v>20</v>
      </c>
      <c r="D4" s="10" t="n">
        <f aca="false">COUNTIF('External Interface Test Cases'!D:D,"Must")+SUMPRODUCT(ISNUMBER(SEARCH("Must/",'External Interface Test Cases'!D:D))*1)</f>
        <v>9</v>
      </c>
      <c r="E4" s="11" t="n">
        <f aca="false">SUM(B4:D4)</f>
        <v>100</v>
      </c>
    </row>
    <row r="5" customFormat="false" ht="15" hidden="false" customHeight="false" outlineLevel="0" collapsed="false">
      <c r="A5" s="10" t="s">
        <v>35</v>
      </c>
      <c r="B5" s="10" t="n">
        <f aca="false">COUNTIF('Functional Test Cases'!D:D,"Should")+SUMPRODUCT(ISNUMBER(SEARCH("Should/",'Functional Test Cases'!D:D))*1)</f>
        <v>27</v>
      </c>
      <c r="C5" s="10" t="n">
        <f aca="false">COUNTIF('Non-Functional Test Cases'!D:D,"Should")+SUMPRODUCT(ISNUMBER(SEARCH("Should/",'Non-Functional Test Cases'!D:D))*1)</f>
        <v>2</v>
      </c>
      <c r="D5" s="10" t="n">
        <f aca="false">COUNTIF('External Interface Test Cases'!D:D,"Should")+SUMPRODUCT(ISNUMBER(SEARCH("Should/",'External Interface Test Cases'!D:D))*1)</f>
        <v>1</v>
      </c>
      <c r="E5" s="11" t="n">
        <f aca="false">SUM(B5:D5)</f>
        <v>30</v>
      </c>
    </row>
    <row r="6" customFormat="false" ht="15" hidden="false" customHeight="false" outlineLevel="0" collapsed="false">
      <c r="A6" s="10" t="s">
        <v>36</v>
      </c>
      <c r="B6" s="10" t="n">
        <f aca="false">COUNTIF('Functional Test Cases'!D:D,"Could")+SUMPRODUCT(ISNUMBER(SEARCH("Could/",'Functional Test Cases'!D:D))*1)</f>
        <v>1</v>
      </c>
      <c r="C6" s="10" t="n">
        <f aca="false">COUNTIF('Non-Functional Test Cases'!D:D,"Could")+SUMPRODUCT(ISNUMBER(SEARCH("Could/",'Non-Functional Test Cases'!D:D))*1)</f>
        <v>0</v>
      </c>
      <c r="D6" s="10" t="n">
        <f aca="false">COUNTIF('External Interface Test Cases'!D:D,"Could")+SUMPRODUCT(ISNUMBER(SEARCH("Could/",'External Interface Test Cases'!D:D))*1)</f>
        <v>0</v>
      </c>
      <c r="E6" s="11" t="n">
        <f aca="false">SUM(B6:D6)</f>
        <v>1</v>
      </c>
    </row>
    <row r="7" customFormat="false" ht="15" hidden="false" customHeight="false" outlineLevel="0" collapsed="false">
      <c r="A7" s="12" t="s">
        <v>28</v>
      </c>
      <c r="B7" s="12" t="n">
        <f aca="false">SUM(B4:B6)</f>
        <v>99</v>
      </c>
      <c r="C7" s="12" t="n">
        <f aca="false">SUM(C4:C6)</f>
        <v>22</v>
      </c>
      <c r="D7" s="12" t="n">
        <f aca="false">SUM(D4:D6)</f>
        <v>10</v>
      </c>
      <c r="E7" s="12" t="n">
        <f aca="false">SUM(E4:E6)</f>
        <v>131</v>
      </c>
    </row>
    <row r="10" customFormat="false" ht="15" hidden="false" customHeight="false" outlineLevel="0" collapsed="false">
      <c r="A10" s="5" t="s">
        <v>37</v>
      </c>
    </row>
    <row r="11" customFormat="false" ht="15" hidden="false" customHeight="false" outlineLevel="0" collapsed="false">
      <c r="A11" s="13" t="s">
        <v>38</v>
      </c>
      <c r="B11" s="13" t="s">
        <v>39</v>
      </c>
    </row>
    <row r="12" customFormat="false" ht="15" hidden="false" customHeight="false" outlineLevel="0" collapsed="false">
      <c r="A12" s="14" t="s">
        <v>40</v>
      </c>
      <c r="B12" s="14" t="n">
        <f aca="false">COUNTIF('Functional Test Cases'!K:K,"Pass")+COUNTIF('Non-Functional Test Cases'!K:K,"Pass")+COUNTIF('External Interface Test Cases'!K:K,"Pass")</f>
        <v>17</v>
      </c>
    </row>
    <row r="13" customFormat="false" ht="15" hidden="false" customHeight="false" outlineLevel="0" collapsed="false">
      <c r="A13" s="14" t="s">
        <v>41</v>
      </c>
      <c r="B13" s="14" t="n">
        <f aca="false">COUNTIF('Functional Test Cases'!K:K,"Fail")+COUNTIF('Non-Functional Test Cases'!K:K,"Fail")+COUNTIF('External Interface Test Cases'!K:K,"Fail")</f>
        <v>19</v>
      </c>
    </row>
    <row r="14" customFormat="false" ht="15" hidden="false" customHeight="false" outlineLevel="0" collapsed="false">
      <c r="A14" s="14" t="s">
        <v>42</v>
      </c>
      <c r="B14" s="14" t="n">
        <f aca="false">COUNTIF('Functional Test Cases'!K:K,"Blocked")+COUNTIF('Non-Functional Test Cases'!K:K,"Blocked")+COUNTIF('External Interface Test Cases'!K:K,"Blocked")</f>
        <v>45</v>
      </c>
    </row>
    <row r="15" customFormat="false" ht="15" hidden="false" customHeight="false" outlineLevel="0" collapsed="false">
      <c r="A15" s="14" t="s">
        <v>43</v>
      </c>
      <c r="B15" s="14" t="n">
        <f aca="false">COUNTIF('Functional Test Cases'!K:K,"Not Run")+COUNTIF('Non-Functional Test Cases'!K:K,"Not Run")+COUNTIF('External Interface Test Cases'!K:K,"Not Run")</f>
        <v>50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6"/>
    <col collapsed="false" customWidth="true" hidden="false" outlineLevel="0" max="4" min="4" style="0" width="9"/>
    <col collapsed="false" customWidth="true" hidden="false" outlineLevel="0" max="5" min="5" style="0" width="7"/>
    <col collapsed="false" customWidth="true" hidden="false" outlineLevel="0" max="7" min="6" style="0" width="30"/>
    <col collapsed="false" customWidth="true" hidden="false" outlineLevel="0" max="8" min="8" style="0" width="46"/>
    <col collapsed="false" customWidth="true" hidden="false" outlineLevel="0" max="9" min="9" style="0" width="42"/>
    <col collapsed="false" customWidth="true" hidden="false" outlineLevel="0" max="10" min="10" style="0" width="14"/>
    <col collapsed="false" customWidth="true" hidden="false" outlineLevel="0" max="11" min="11" style="0" width="10"/>
    <col collapsed="false" customWidth="true" hidden="false" outlineLevel="0" max="12" min="12" style="0" width="14"/>
    <col collapsed="false" customWidth="true" hidden="false" outlineLevel="0" max="13" min="13" style="0" width="46"/>
  </cols>
  <sheetData>
    <row r="1" customFormat="false" ht="19.7" hidden="false" customHeight="false" outlineLevel="0" collapsed="false">
      <c r="A1" s="8" t="s">
        <v>44</v>
      </c>
      <c r="B1" s="8"/>
      <c r="C1" s="8"/>
      <c r="D1" s="8"/>
      <c r="E1" s="8"/>
      <c r="F1" s="8"/>
      <c r="G1" s="8"/>
      <c r="H1" s="8"/>
      <c r="I1" s="8"/>
      <c r="J1" s="8"/>
      <c r="K1" s="8"/>
    </row>
    <row r="2" customFormat="false" ht="15" hidden="false" customHeight="false" outlineLevel="0" collapsed="false">
      <c r="A2" s="2" t="s">
        <v>45</v>
      </c>
      <c r="B2" s="2"/>
      <c r="C2" s="2"/>
      <c r="D2" s="2"/>
      <c r="E2" s="2"/>
      <c r="F2" s="2"/>
      <c r="G2" s="2"/>
      <c r="H2" s="2"/>
      <c r="I2" s="2"/>
      <c r="J2" s="2"/>
      <c r="K2" s="2"/>
    </row>
    <row r="4" customFormat="false" ht="15" hidden="false" customHeight="false" outlineLevel="0" collapsed="false">
      <c r="A4" s="9" t="s">
        <v>46</v>
      </c>
      <c r="B4" s="9" t="s">
        <v>47</v>
      </c>
      <c r="C4" s="9" t="s">
        <v>48</v>
      </c>
      <c r="D4" s="9" t="s">
        <v>30</v>
      </c>
      <c r="E4" s="9" t="s">
        <v>49</v>
      </c>
      <c r="F4" s="9" t="s">
        <v>50</v>
      </c>
      <c r="G4" s="9" t="s">
        <v>51</v>
      </c>
      <c r="H4" s="9" t="s">
        <v>52</v>
      </c>
      <c r="I4" s="9" t="s">
        <v>53</v>
      </c>
      <c r="J4" s="9" t="s">
        <v>54</v>
      </c>
      <c r="K4" s="9" t="s">
        <v>38</v>
      </c>
      <c r="L4" s="9" t="s">
        <v>55</v>
      </c>
      <c r="M4" s="9" t="s">
        <v>56</v>
      </c>
    </row>
    <row r="5" customFormat="false" ht="60" hidden="false" customHeight="true" outlineLevel="0" collapsed="false">
      <c r="A5" s="11" t="s">
        <v>57</v>
      </c>
      <c r="B5" s="10" t="s">
        <v>58</v>
      </c>
      <c r="C5" s="10" t="s">
        <v>59</v>
      </c>
      <c r="D5" s="15" t="s">
        <v>34</v>
      </c>
      <c r="E5" s="10" t="s">
        <v>60</v>
      </c>
      <c r="F5" s="10" t="s">
        <v>61</v>
      </c>
      <c r="G5" s="10" t="s">
        <v>62</v>
      </c>
      <c r="H5" s="10" t="s">
        <v>63</v>
      </c>
      <c r="I5" s="10" t="s">
        <v>64</v>
      </c>
      <c r="J5" s="10" t="s">
        <v>31</v>
      </c>
      <c r="K5" s="16" t="s">
        <v>40</v>
      </c>
      <c r="L5" s="10"/>
      <c r="M5" s="10" t="s">
        <v>65</v>
      </c>
    </row>
    <row r="6" customFormat="false" ht="60" hidden="false" customHeight="true" outlineLevel="0" collapsed="false">
      <c r="A6" s="11" t="s">
        <v>66</v>
      </c>
      <c r="B6" s="10" t="s">
        <v>58</v>
      </c>
      <c r="C6" s="10" t="s">
        <v>59</v>
      </c>
      <c r="D6" s="15" t="s">
        <v>34</v>
      </c>
      <c r="E6" s="10" t="s">
        <v>60</v>
      </c>
      <c r="F6" s="10" t="s">
        <v>67</v>
      </c>
      <c r="G6" s="10" t="s">
        <v>68</v>
      </c>
      <c r="H6" s="10" t="s">
        <v>69</v>
      </c>
      <c r="I6" s="10" t="s">
        <v>70</v>
      </c>
      <c r="J6" s="10" t="s">
        <v>31</v>
      </c>
      <c r="K6" s="10" t="s">
        <v>43</v>
      </c>
      <c r="L6" s="10"/>
      <c r="M6" s="10"/>
    </row>
    <row r="7" customFormat="false" ht="60" hidden="false" customHeight="true" outlineLevel="0" collapsed="false">
      <c r="A7" s="11" t="s">
        <v>71</v>
      </c>
      <c r="B7" s="10" t="s">
        <v>58</v>
      </c>
      <c r="C7" s="10" t="s">
        <v>72</v>
      </c>
      <c r="D7" s="15" t="s">
        <v>34</v>
      </c>
      <c r="E7" s="10" t="s">
        <v>60</v>
      </c>
      <c r="F7" s="10" t="s">
        <v>73</v>
      </c>
      <c r="G7" s="10" t="s">
        <v>74</v>
      </c>
      <c r="H7" s="10" t="s">
        <v>75</v>
      </c>
      <c r="I7" s="10" t="s">
        <v>76</v>
      </c>
      <c r="J7" s="10" t="s">
        <v>31</v>
      </c>
      <c r="K7" s="10" t="s">
        <v>43</v>
      </c>
      <c r="L7" s="10"/>
      <c r="M7" s="10"/>
    </row>
    <row r="8" customFormat="false" ht="60" hidden="false" customHeight="true" outlineLevel="0" collapsed="false">
      <c r="A8" s="11" t="s">
        <v>77</v>
      </c>
      <c r="B8" s="10" t="s">
        <v>58</v>
      </c>
      <c r="C8" s="10" t="s">
        <v>78</v>
      </c>
      <c r="D8" s="15" t="s">
        <v>34</v>
      </c>
      <c r="E8" s="10" t="s">
        <v>60</v>
      </c>
      <c r="F8" s="10" t="s">
        <v>79</v>
      </c>
      <c r="G8" s="10" t="s">
        <v>80</v>
      </c>
      <c r="H8" s="10" t="s">
        <v>81</v>
      </c>
      <c r="I8" s="10" t="s">
        <v>82</v>
      </c>
      <c r="J8" s="10" t="s">
        <v>31</v>
      </c>
      <c r="K8" s="16" t="s">
        <v>40</v>
      </c>
      <c r="L8" s="10"/>
      <c r="M8" s="10" t="s">
        <v>83</v>
      </c>
    </row>
    <row r="9" customFormat="false" ht="60" hidden="false" customHeight="true" outlineLevel="0" collapsed="false">
      <c r="A9" s="11" t="s">
        <v>84</v>
      </c>
      <c r="B9" s="10" t="s">
        <v>58</v>
      </c>
      <c r="C9" s="10" t="s">
        <v>85</v>
      </c>
      <c r="D9" s="15" t="s">
        <v>34</v>
      </c>
      <c r="E9" s="10" t="s">
        <v>60</v>
      </c>
      <c r="F9" s="10" t="s">
        <v>86</v>
      </c>
      <c r="G9" s="10" t="s">
        <v>87</v>
      </c>
      <c r="H9" s="10" t="s">
        <v>88</v>
      </c>
      <c r="I9" s="10" t="s">
        <v>89</v>
      </c>
      <c r="J9" s="10" t="s">
        <v>31</v>
      </c>
      <c r="K9" s="10" t="s">
        <v>43</v>
      </c>
      <c r="L9" s="10"/>
      <c r="M9" s="10"/>
    </row>
    <row r="10" customFormat="false" ht="60" hidden="false" customHeight="true" outlineLevel="0" collapsed="false">
      <c r="A10" s="11" t="s">
        <v>90</v>
      </c>
      <c r="B10" s="10" t="s">
        <v>58</v>
      </c>
      <c r="C10" s="10" t="s">
        <v>91</v>
      </c>
      <c r="D10" s="15" t="s">
        <v>34</v>
      </c>
      <c r="E10" s="10" t="s">
        <v>60</v>
      </c>
      <c r="F10" s="10" t="s">
        <v>92</v>
      </c>
      <c r="G10" s="10" t="s">
        <v>93</v>
      </c>
      <c r="H10" s="10" t="s">
        <v>94</v>
      </c>
      <c r="I10" s="10" t="s">
        <v>95</v>
      </c>
      <c r="J10" s="10" t="s">
        <v>31</v>
      </c>
      <c r="K10" s="17" t="s">
        <v>41</v>
      </c>
      <c r="L10" s="10" t="s">
        <v>96</v>
      </c>
      <c r="M10" s="10" t="s">
        <v>97</v>
      </c>
    </row>
    <row r="11" customFormat="false" ht="60" hidden="false" customHeight="true" outlineLevel="0" collapsed="false">
      <c r="A11" s="11" t="s">
        <v>98</v>
      </c>
      <c r="B11" s="10" t="s">
        <v>99</v>
      </c>
      <c r="C11" s="10" t="s">
        <v>100</v>
      </c>
      <c r="D11" s="15" t="s">
        <v>34</v>
      </c>
      <c r="E11" s="10" t="s">
        <v>60</v>
      </c>
      <c r="F11" s="10" t="s">
        <v>101</v>
      </c>
      <c r="G11" s="10" t="s">
        <v>102</v>
      </c>
      <c r="H11" s="10" t="s">
        <v>103</v>
      </c>
      <c r="I11" s="10" t="s">
        <v>104</v>
      </c>
      <c r="J11" s="10" t="s">
        <v>31</v>
      </c>
      <c r="K11" s="17" t="s">
        <v>41</v>
      </c>
      <c r="L11" s="10" t="s">
        <v>105</v>
      </c>
      <c r="M11" s="10" t="s">
        <v>106</v>
      </c>
    </row>
    <row r="12" customFormat="false" ht="60" hidden="false" customHeight="true" outlineLevel="0" collapsed="false">
      <c r="A12" s="11" t="s">
        <v>107</v>
      </c>
      <c r="B12" s="10" t="s">
        <v>99</v>
      </c>
      <c r="C12" s="10" t="s">
        <v>108</v>
      </c>
      <c r="D12" s="15" t="s">
        <v>34</v>
      </c>
      <c r="E12" s="10" t="s">
        <v>60</v>
      </c>
      <c r="F12" s="10" t="s">
        <v>109</v>
      </c>
      <c r="G12" s="10" t="s">
        <v>110</v>
      </c>
      <c r="H12" s="10" t="s">
        <v>111</v>
      </c>
      <c r="I12" s="10" t="s">
        <v>112</v>
      </c>
      <c r="J12" s="10" t="s">
        <v>31</v>
      </c>
      <c r="K12" s="16" t="s">
        <v>40</v>
      </c>
      <c r="L12" s="10"/>
      <c r="M12" s="10" t="s">
        <v>113</v>
      </c>
    </row>
    <row r="13" customFormat="false" ht="60" hidden="false" customHeight="true" outlineLevel="0" collapsed="false">
      <c r="A13" s="11" t="s">
        <v>114</v>
      </c>
      <c r="B13" s="10" t="s">
        <v>99</v>
      </c>
      <c r="C13" s="10" t="s">
        <v>115</v>
      </c>
      <c r="D13" s="15" t="s">
        <v>34</v>
      </c>
      <c r="E13" s="10" t="s">
        <v>60</v>
      </c>
      <c r="F13" s="10" t="s">
        <v>116</v>
      </c>
      <c r="G13" s="10" t="s">
        <v>117</v>
      </c>
      <c r="H13" s="10" t="s">
        <v>118</v>
      </c>
      <c r="I13" s="10" t="s">
        <v>119</v>
      </c>
      <c r="J13" s="10" t="s">
        <v>31</v>
      </c>
      <c r="K13" s="17" t="s">
        <v>41</v>
      </c>
      <c r="L13" s="10" t="s">
        <v>120</v>
      </c>
      <c r="M13" s="10" t="s">
        <v>121</v>
      </c>
    </row>
    <row r="14" customFormat="false" ht="60" hidden="false" customHeight="true" outlineLevel="0" collapsed="false">
      <c r="A14" s="11" t="s">
        <v>122</v>
      </c>
      <c r="B14" s="10" t="s">
        <v>99</v>
      </c>
      <c r="C14" s="10" t="s">
        <v>123</v>
      </c>
      <c r="D14" s="15" t="s">
        <v>34</v>
      </c>
      <c r="E14" s="10" t="s">
        <v>60</v>
      </c>
      <c r="F14" s="10" t="s">
        <v>124</v>
      </c>
      <c r="G14" s="10" t="s">
        <v>125</v>
      </c>
      <c r="H14" s="10" t="s">
        <v>126</v>
      </c>
      <c r="I14" s="10" t="s">
        <v>127</v>
      </c>
      <c r="J14" s="10" t="s">
        <v>31</v>
      </c>
      <c r="K14" s="17" t="s">
        <v>41</v>
      </c>
      <c r="L14" s="10" t="s">
        <v>128</v>
      </c>
      <c r="M14" s="10" t="s">
        <v>129</v>
      </c>
    </row>
    <row r="15" customFormat="false" ht="60" hidden="false" customHeight="true" outlineLevel="0" collapsed="false">
      <c r="A15" s="11" t="s">
        <v>130</v>
      </c>
      <c r="B15" s="10" t="s">
        <v>99</v>
      </c>
      <c r="C15" s="10" t="s">
        <v>131</v>
      </c>
      <c r="D15" s="15" t="s">
        <v>34</v>
      </c>
      <c r="E15" s="10" t="s">
        <v>60</v>
      </c>
      <c r="F15" s="10" t="s">
        <v>132</v>
      </c>
      <c r="G15" s="10" t="s">
        <v>133</v>
      </c>
      <c r="H15" s="10" t="s">
        <v>134</v>
      </c>
      <c r="I15" s="10" t="s">
        <v>135</v>
      </c>
      <c r="J15" s="10" t="s">
        <v>31</v>
      </c>
      <c r="K15" s="10" t="s">
        <v>43</v>
      </c>
      <c r="L15" s="10"/>
      <c r="M15" s="10"/>
    </row>
    <row r="16" customFormat="false" ht="60" hidden="false" customHeight="true" outlineLevel="0" collapsed="false">
      <c r="A16" s="11" t="s">
        <v>136</v>
      </c>
      <c r="B16" s="10" t="s">
        <v>99</v>
      </c>
      <c r="C16" s="10" t="s">
        <v>137</v>
      </c>
      <c r="D16" s="18" t="s">
        <v>36</v>
      </c>
      <c r="E16" s="10" t="s">
        <v>60</v>
      </c>
      <c r="F16" s="10" t="s">
        <v>138</v>
      </c>
      <c r="G16" s="10" t="s">
        <v>139</v>
      </c>
      <c r="H16" s="10" t="s">
        <v>140</v>
      </c>
      <c r="I16" s="10" t="s">
        <v>141</v>
      </c>
      <c r="J16" s="10" t="s">
        <v>31</v>
      </c>
      <c r="K16" s="10" t="s">
        <v>43</v>
      </c>
      <c r="L16" s="10"/>
      <c r="M16" s="10"/>
    </row>
    <row r="17" customFormat="false" ht="60" hidden="false" customHeight="true" outlineLevel="0" collapsed="false">
      <c r="A17" s="11" t="s">
        <v>142</v>
      </c>
      <c r="B17" s="10" t="s">
        <v>99</v>
      </c>
      <c r="C17" s="10" t="s">
        <v>143</v>
      </c>
      <c r="D17" s="15" t="s">
        <v>34</v>
      </c>
      <c r="E17" s="10" t="s">
        <v>60</v>
      </c>
      <c r="F17" s="10" t="s">
        <v>144</v>
      </c>
      <c r="G17" s="10" t="s">
        <v>145</v>
      </c>
      <c r="H17" s="10" t="s">
        <v>146</v>
      </c>
      <c r="I17" s="10" t="s">
        <v>147</v>
      </c>
      <c r="J17" s="10" t="s">
        <v>31</v>
      </c>
      <c r="K17" s="19" t="s">
        <v>42</v>
      </c>
      <c r="L17" s="10" t="s">
        <v>105</v>
      </c>
      <c r="M17" s="10" t="s">
        <v>148</v>
      </c>
    </row>
    <row r="18" customFormat="false" ht="60" hidden="false" customHeight="true" outlineLevel="0" collapsed="false">
      <c r="A18" s="11" t="s">
        <v>149</v>
      </c>
      <c r="B18" s="10" t="s">
        <v>99</v>
      </c>
      <c r="C18" s="10" t="s">
        <v>150</v>
      </c>
      <c r="D18" s="15" t="s">
        <v>34</v>
      </c>
      <c r="E18" s="10" t="s">
        <v>60</v>
      </c>
      <c r="F18" s="10" t="s">
        <v>151</v>
      </c>
      <c r="G18" s="10" t="s">
        <v>152</v>
      </c>
      <c r="H18" s="10" t="s">
        <v>153</v>
      </c>
      <c r="I18" s="10" t="s">
        <v>154</v>
      </c>
      <c r="J18" s="10" t="s">
        <v>31</v>
      </c>
      <c r="K18" s="10" t="s">
        <v>43</v>
      </c>
      <c r="L18" s="10"/>
      <c r="M18" s="10"/>
    </row>
    <row r="19" customFormat="false" ht="60" hidden="false" customHeight="true" outlineLevel="0" collapsed="false">
      <c r="A19" s="11" t="s">
        <v>155</v>
      </c>
      <c r="B19" s="10" t="s">
        <v>99</v>
      </c>
      <c r="C19" s="10" t="s">
        <v>156</v>
      </c>
      <c r="D19" s="15" t="s">
        <v>34</v>
      </c>
      <c r="E19" s="10" t="s">
        <v>60</v>
      </c>
      <c r="F19" s="10" t="s">
        <v>157</v>
      </c>
      <c r="G19" s="10" t="s">
        <v>158</v>
      </c>
      <c r="H19" s="10" t="s">
        <v>159</v>
      </c>
      <c r="I19" s="10" t="s">
        <v>160</v>
      </c>
      <c r="J19" s="10" t="s">
        <v>31</v>
      </c>
      <c r="K19" s="19" t="s">
        <v>42</v>
      </c>
      <c r="L19" s="10" t="s">
        <v>105</v>
      </c>
      <c r="M19" s="10" t="s">
        <v>161</v>
      </c>
    </row>
    <row r="20" customFormat="false" ht="60" hidden="false" customHeight="true" outlineLevel="0" collapsed="false">
      <c r="A20" s="11" t="s">
        <v>162</v>
      </c>
      <c r="B20" s="10" t="s">
        <v>99</v>
      </c>
      <c r="C20" s="10" t="s">
        <v>163</v>
      </c>
      <c r="D20" s="15" t="s">
        <v>34</v>
      </c>
      <c r="E20" s="10" t="s">
        <v>60</v>
      </c>
      <c r="F20" s="10" t="s">
        <v>164</v>
      </c>
      <c r="G20" s="10" t="s">
        <v>165</v>
      </c>
      <c r="H20" s="10" t="s">
        <v>166</v>
      </c>
      <c r="I20" s="10" t="s">
        <v>167</v>
      </c>
      <c r="J20" s="10" t="s">
        <v>31</v>
      </c>
      <c r="K20" s="17" t="s">
        <v>41</v>
      </c>
      <c r="L20" s="10" t="s">
        <v>105</v>
      </c>
      <c r="M20" s="10" t="s">
        <v>168</v>
      </c>
    </row>
    <row r="21" customFormat="false" ht="60" hidden="false" customHeight="true" outlineLevel="0" collapsed="false">
      <c r="A21" s="11" t="s">
        <v>169</v>
      </c>
      <c r="B21" s="10" t="s">
        <v>99</v>
      </c>
      <c r="C21" s="10" t="s">
        <v>170</v>
      </c>
      <c r="D21" s="15" t="s">
        <v>34</v>
      </c>
      <c r="E21" s="10" t="s">
        <v>60</v>
      </c>
      <c r="F21" s="10" t="s">
        <v>171</v>
      </c>
      <c r="G21" s="10" t="s">
        <v>172</v>
      </c>
      <c r="H21" s="10" t="s">
        <v>173</v>
      </c>
      <c r="I21" s="10" t="s">
        <v>174</v>
      </c>
      <c r="J21" s="10" t="s">
        <v>31</v>
      </c>
      <c r="K21" s="19" t="s">
        <v>42</v>
      </c>
      <c r="L21" s="10" t="s">
        <v>105</v>
      </c>
      <c r="M21" s="10" t="s">
        <v>175</v>
      </c>
    </row>
    <row r="22" customFormat="false" ht="60" hidden="false" customHeight="true" outlineLevel="0" collapsed="false">
      <c r="A22" s="11" t="s">
        <v>176</v>
      </c>
      <c r="B22" s="10" t="s">
        <v>99</v>
      </c>
      <c r="C22" s="10" t="s">
        <v>177</v>
      </c>
      <c r="D22" s="15" t="s">
        <v>34</v>
      </c>
      <c r="E22" s="10" t="s">
        <v>178</v>
      </c>
      <c r="F22" s="10" t="s">
        <v>179</v>
      </c>
      <c r="G22" s="10" t="s">
        <v>180</v>
      </c>
      <c r="H22" s="10" t="s">
        <v>181</v>
      </c>
      <c r="I22" s="10" t="s">
        <v>182</v>
      </c>
      <c r="J22" s="10" t="s">
        <v>31</v>
      </c>
      <c r="K22" s="17" t="s">
        <v>41</v>
      </c>
      <c r="L22" s="10" t="s">
        <v>105</v>
      </c>
      <c r="M22" s="10" t="s">
        <v>183</v>
      </c>
    </row>
    <row r="23" customFormat="false" ht="60" hidden="false" customHeight="true" outlineLevel="0" collapsed="false">
      <c r="A23" s="11" t="s">
        <v>184</v>
      </c>
      <c r="B23" s="10" t="s">
        <v>99</v>
      </c>
      <c r="C23" s="10" t="s">
        <v>185</v>
      </c>
      <c r="D23" s="20" t="s">
        <v>35</v>
      </c>
      <c r="E23" s="10" t="s">
        <v>60</v>
      </c>
      <c r="F23" s="10" t="s">
        <v>186</v>
      </c>
      <c r="G23" s="10" t="s">
        <v>187</v>
      </c>
      <c r="H23" s="10" t="s">
        <v>188</v>
      </c>
      <c r="I23" s="10" t="s">
        <v>189</v>
      </c>
      <c r="J23" s="10" t="s">
        <v>31</v>
      </c>
      <c r="K23" s="16" t="s">
        <v>40</v>
      </c>
      <c r="L23" s="10" t="s">
        <v>190</v>
      </c>
      <c r="M23" s="10" t="s">
        <v>191</v>
      </c>
    </row>
    <row r="24" customFormat="false" ht="60" hidden="false" customHeight="true" outlineLevel="0" collapsed="false">
      <c r="A24" s="11" t="s">
        <v>192</v>
      </c>
      <c r="B24" s="10" t="s">
        <v>99</v>
      </c>
      <c r="C24" s="10" t="s">
        <v>193</v>
      </c>
      <c r="D24" s="15" t="s">
        <v>34</v>
      </c>
      <c r="E24" s="10" t="s">
        <v>60</v>
      </c>
      <c r="F24" s="10" t="s">
        <v>194</v>
      </c>
      <c r="G24" s="10" t="s">
        <v>180</v>
      </c>
      <c r="H24" s="10" t="s">
        <v>195</v>
      </c>
      <c r="I24" s="10" t="s">
        <v>196</v>
      </c>
      <c r="J24" s="10" t="s">
        <v>31</v>
      </c>
      <c r="K24" s="19" t="s">
        <v>42</v>
      </c>
      <c r="L24" s="10" t="s">
        <v>105</v>
      </c>
      <c r="M24" s="10" t="s">
        <v>197</v>
      </c>
    </row>
    <row r="25" customFormat="false" ht="60" hidden="false" customHeight="true" outlineLevel="0" collapsed="false">
      <c r="A25" s="11" t="s">
        <v>198</v>
      </c>
      <c r="B25" s="10" t="s">
        <v>199</v>
      </c>
      <c r="C25" s="10" t="s">
        <v>200</v>
      </c>
      <c r="D25" s="15" t="s">
        <v>34</v>
      </c>
      <c r="E25" s="10" t="s">
        <v>60</v>
      </c>
      <c r="F25" s="10" t="s">
        <v>201</v>
      </c>
      <c r="G25" s="10" t="s">
        <v>202</v>
      </c>
      <c r="H25" s="10" t="s">
        <v>203</v>
      </c>
      <c r="I25" s="10" t="s">
        <v>204</v>
      </c>
      <c r="J25" s="10" t="s">
        <v>31</v>
      </c>
      <c r="K25" s="19" t="s">
        <v>42</v>
      </c>
      <c r="L25" s="10" t="s">
        <v>105</v>
      </c>
      <c r="M25" s="10" t="s">
        <v>205</v>
      </c>
    </row>
    <row r="26" customFormat="false" ht="60" hidden="false" customHeight="true" outlineLevel="0" collapsed="false">
      <c r="A26" s="11" t="s">
        <v>206</v>
      </c>
      <c r="B26" s="10" t="s">
        <v>199</v>
      </c>
      <c r="C26" s="10" t="s">
        <v>207</v>
      </c>
      <c r="D26" s="15" t="s">
        <v>34</v>
      </c>
      <c r="E26" s="10" t="s">
        <v>208</v>
      </c>
      <c r="F26" s="10" t="s">
        <v>209</v>
      </c>
      <c r="G26" s="10" t="s">
        <v>210</v>
      </c>
      <c r="H26" s="10" t="s">
        <v>211</v>
      </c>
      <c r="I26" s="10" t="s">
        <v>212</v>
      </c>
      <c r="J26" s="10" t="s">
        <v>31</v>
      </c>
      <c r="K26" s="17" t="s">
        <v>41</v>
      </c>
      <c r="L26" s="10" t="s">
        <v>213</v>
      </c>
      <c r="M26" s="10" t="s">
        <v>214</v>
      </c>
    </row>
    <row r="27" customFormat="false" ht="60" hidden="false" customHeight="true" outlineLevel="0" collapsed="false">
      <c r="A27" s="11" t="s">
        <v>215</v>
      </c>
      <c r="B27" s="10" t="s">
        <v>199</v>
      </c>
      <c r="C27" s="10" t="s">
        <v>216</v>
      </c>
      <c r="D27" s="15" t="s">
        <v>34</v>
      </c>
      <c r="E27" s="10" t="s">
        <v>178</v>
      </c>
      <c r="F27" s="10" t="s">
        <v>217</v>
      </c>
      <c r="G27" s="10" t="s">
        <v>218</v>
      </c>
      <c r="H27" s="10" t="s">
        <v>219</v>
      </c>
      <c r="I27" s="10" t="s">
        <v>220</v>
      </c>
      <c r="J27" s="10" t="s">
        <v>31</v>
      </c>
      <c r="K27" s="17" t="s">
        <v>41</v>
      </c>
      <c r="L27" s="10" t="s">
        <v>221</v>
      </c>
      <c r="M27" s="10" t="s">
        <v>222</v>
      </c>
    </row>
    <row r="28" customFormat="false" ht="60" hidden="false" customHeight="true" outlineLevel="0" collapsed="false">
      <c r="A28" s="11" t="s">
        <v>223</v>
      </c>
      <c r="B28" s="10" t="s">
        <v>199</v>
      </c>
      <c r="C28" s="10" t="s">
        <v>224</v>
      </c>
      <c r="D28" s="15" t="s">
        <v>34</v>
      </c>
      <c r="E28" s="10" t="s">
        <v>60</v>
      </c>
      <c r="F28" s="10" t="s">
        <v>225</v>
      </c>
      <c r="G28" s="10" t="s">
        <v>226</v>
      </c>
      <c r="H28" s="10" t="s">
        <v>227</v>
      </c>
      <c r="I28" s="10" t="s">
        <v>228</v>
      </c>
      <c r="J28" s="10" t="s">
        <v>31</v>
      </c>
      <c r="K28" s="16" t="s">
        <v>40</v>
      </c>
      <c r="L28" s="10"/>
      <c r="M28" s="10" t="s">
        <v>229</v>
      </c>
    </row>
    <row r="29" customFormat="false" ht="60" hidden="false" customHeight="true" outlineLevel="0" collapsed="false">
      <c r="A29" s="11" t="s">
        <v>230</v>
      </c>
      <c r="B29" s="10" t="s">
        <v>199</v>
      </c>
      <c r="C29" s="10" t="s">
        <v>231</v>
      </c>
      <c r="D29" s="15" t="s">
        <v>34</v>
      </c>
      <c r="E29" s="10" t="s">
        <v>60</v>
      </c>
      <c r="F29" s="10" t="s">
        <v>232</v>
      </c>
      <c r="G29" s="10" t="s">
        <v>233</v>
      </c>
      <c r="H29" s="10" t="s">
        <v>234</v>
      </c>
      <c r="I29" s="10" t="s">
        <v>235</v>
      </c>
      <c r="J29" s="10" t="s">
        <v>31</v>
      </c>
      <c r="K29" s="17" t="s">
        <v>41</v>
      </c>
      <c r="L29" s="10" t="s">
        <v>236</v>
      </c>
      <c r="M29" s="10" t="s">
        <v>237</v>
      </c>
    </row>
    <row r="30" customFormat="false" ht="60" hidden="false" customHeight="true" outlineLevel="0" collapsed="false">
      <c r="A30" s="11" t="s">
        <v>238</v>
      </c>
      <c r="B30" s="10" t="s">
        <v>239</v>
      </c>
      <c r="C30" s="10" t="s">
        <v>240</v>
      </c>
      <c r="D30" s="15" t="s">
        <v>34</v>
      </c>
      <c r="E30" s="10" t="s">
        <v>60</v>
      </c>
      <c r="F30" s="10" t="s">
        <v>241</v>
      </c>
      <c r="G30" s="10" t="s">
        <v>242</v>
      </c>
      <c r="H30" s="10" t="s">
        <v>243</v>
      </c>
      <c r="I30" s="10" t="s">
        <v>244</v>
      </c>
      <c r="J30" s="10" t="s">
        <v>31</v>
      </c>
      <c r="K30" s="19" t="s">
        <v>42</v>
      </c>
      <c r="L30" s="10" t="s">
        <v>105</v>
      </c>
      <c r="M30" s="10" t="s">
        <v>245</v>
      </c>
    </row>
    <row r="31" customFormat="false" ht="60" hidden="false" customHeight="true" outlineLevel="0" collapsed="false">
      <c r="A31" s="11" t="s">
        <v>246</v>
      </c>
      <c r="B31" s="10" t="s">
        <v>239</v>
      </c>
      <c r="C31" s="10" t="s">
        <v>247</v>
      </c>
      <c r="D31" s="15" t="s">
        <v>34</v>
      </c>
      <c r="E31" s="10" t="s">
        <v>60</v>
      </c>
      <c r="F31" s="10" t="s">
        <v>248</v>
      </c>
      <c r="G31" s="10" t="s">
        <v>249</v>
      </c>
      <c r="H31" s="10" t="s">
        <v>250</v>
      </c>
      <c r="I31" s="10" t="s">
        <v>251</v>
      </c>
      <c r="J31" s="10" t="s">
        <v>31</v>
      </c>
      <c r="K31" s="19" t="s">
        <v>42</v>
      </c>
      <c r="L31" s="10" t="s">
        <v>105</v>
      </c>
      <c r="M31" s="10" t="s">
        <v>252</v>
      </c>
    </row>
    <row r="32" customFormat="false" ht="60" hidden="false" customHeight="true" outlineLevel="0" collapsed="false">
      <c r="A32" s="11" t="s">
        <v>253</v>
      </c>
      <c r="B32" s="10" t="s">
        <v>239</v>
      </c>
      <c r="C32" s="10" t="s">
        <v>254</v>
      </c>
      <c r="D32" s="15" t="s">
        <v>34</v>
      </c>
      <c r="E32" s="10" t="s">
        <v>60</v>
      </c>
      <c r="F32" s="10" t="s">
        <v>255</v>
      </c>
      <c r="G32" s="10" t="s">
        <v>256</v>
      </c>
      <c r="H32" s="10" t="s">
        <v>257</v>
      </c>
      <c r="I32" s="10" t="s">
        <v>258</v>
      </c>
      <c r="J32" s="10" t="s">
        <v>31</v>
      </c>
      <c r="K32" s="19" t="s">
        <v>42</v>
      </c>
      <c r="L32" s="10" t="s">
        <v>105</v>
      </c>
      <c r="M32" s="10" t="s">
        <v>252</v>
      </c>
    </row>
    <row r="33" customFormat="false" ht="60" hidden="false" customHeight="true" outlineLevel="0" collapsed="false">
      <c r="A33" s="11" t="s">
        <v>259</v>
      </c>
      <c r="B33" s="10" t="s">
        <v>239</v>
      </c>
      <c r="C33" s="10" t="s">
        <v>260</v>
      </c>
      <c r="D33" s="20" t="s">
        <v>35</v>
      </c>
      <c r="E33" s="10" t="s">
        <v>178</v>
      </c>
      <c r="F33" s="10" t="s">
        <v>261</v>
      </c>
      <c r="G33" s="10" t="s">
        <v>262</v>
      </c>
      <c r="H33" s="10" t="s">
        <v>263</v>
      </c>
      <c r="I33" s="10" t="s">
        <v>264</v>
      </c>
      <c r="J33" s="10" t="s">
        <v>31</v>
      </c>
      <c r="K33" s="19" t="s">
        <v>42</v>
      </c>
      <c r="L33" s="10" t="s">
        <v>105</v>
      </c>
      <c r="M33" s="10" t="s">
        <v>252</v>
      </c>
    </row>
    <row r="34" customFormat="false" ht="60" hidden="false" customHeight="true" outlineLevel="0" collapsed="false">
      <c r="A34" s="11" t="s">
        <v>265</v>
      </c>
      <c r="B34" s="10" t="s">
        <v>239</v>
      </c>
      <c r="C34" s="10" t="s">
        <v>266</v>
      </c>
      <c r="D34" s="20" t="s">
        <v>35</v>
      </c>
      <c r="E34" s="10" t="s">
        <v>178</v>
      </c>
      <c r="F34" s="10" t="s">
        <v>267</v>
      </c>
      <c r="G34" s="10" t="s">
        <v>268</v>
      </c>
      <c r="H34" s="10" t="s">
        <v>269</v>
      </c>
      <c r="I34" s="10" t="s">
        <v>270</v>
      </c>
      <c r="J34" s="10" t="s">
        <v>31</v>
      </c>
      <c r="K34" s="19" t="s">
        <v>42</v>
      </c>
      <c r="L34" s="10" t="s">
        <v>105</v>
      </c>
      <c r="M34" s="10" t="s">
        <v>271</v>
      </c>
    </row>
    <row r="35" customFormat="false" ht="60" hidden="false" customHeight="true" outlineLevel="0" collapsed="false">
      <c r="A35" s="11" t="s">
        <v>272</v>
      </c>
      <c r="B35" s="10" t="s">
        <v>239</v>
      </c>
      <c r="C35" s="10" t="s">
        <v>273</v>
      </c>
      <c r="D35" s="15" t="s">
        <v>274</v>
      </c>
      <c r="E35" s="10" t="s">
        <v>178</v>
      </c>
      <c r="F35" s="10" t="s">
        <v>275</v>
      </c>
      <c r="G35" s="10" t="s">
        <v>276</v>
      </c>
      <c r="H35" s="10" t="s">
        <v>277</v>
      </c>
      <c r="I35" s="10" t="s">
        <v>278</v>
      </c>
      <c r="J35" s="10" t="s">
        <v>31</v>
      </c>
      <c r="K35" s="19" t="s">
        <v>42</v>
      </c>
      <c r="L35" s="10" t="s">
        <v>105</v>
      </c>
      <c r="M35" s="10" t="s">
        <v>279</v>
      </c>
    </row>
    <row r="36" customFormat="false" ht="60" hidden="false" customHeight="true" outlineLevel="0" collapsed="false">
      <c r="A36" s="11" t="s">
        <v>280</v>
      </c>
      <c r="B36" s="10" t="s">
        <v>239</v>
      </c>
      <c r="C36" s="10" t="s">
        <v>281</v>
      </c>
      <c r="D36" s="20" t="s">
        <v>282</v>
      </c>
      <c r="E36" s="10" t="s">
        <v>208</v>
      </c>
      <c r="F36" s="10" t="s">
        <v>283</v>
      </c>
      <c r="G36" s="10" t="s">
        <v>284</v>
      </c>
      <c r="H36" s="10" t="s">
        <v>285</v>
      </c>
      <c r="I36" s="10" t="s">
        <v>286</v>
      </c>
      <c r="J36" s="10" t="s">
        <v>31</v>
      </c>
      <c r="K36" s="19" t="s">
        <v>42</v>
      </c>
      <c r="L36" s="10" t="s">
        <v>105</v>
      </c>
      <c r="M36" s="10" t="s">
        <v>287</v>
      </c>
    </row>
    <row r="37" customFormat="false" ht="60" hidden="false" customHeight="true" outlineLevel="0" collapsed="false">
      <c r="A37" s="11" t="s">
        <v>288</v>
      </c>
      <c r="B37" s="10" t="s">
        <v>239</v>
      </c>
      <c r="C37" s="10" t="s">
        <v>289</v>
      </c>
      <c r="D37" s="15" t="s">
        <v>34</v>
      </c>
      <c r="E37" s="10" t="s">
        <v>178</v>
      </c>
      <c r="F37" s="10" t="s">
        <v>290</v>
      </c>
      <c r="G37" s="10" t="s">
        <v>291</v>
      </c>
      <c r="H37" s="10" t="s">
        <v>292</v>
      </c>
      <c r="I37" s="10" t="s">
        <v>293</v>
      </c>
      <c r="J37" s="10" t="s">
        <v>31</v>
      </c>
      <c r="K37" s="19" t="s">
        <v>42</v>
      </c>
      <c r="L37" s="10" t="s">
        <v>105</v>
      </c>
      <c r="M37" s="10" t="s">
        <v>294</v>
      </c>
    </row>
    <row r="38" customFormat="false" ht="60" hidden="false" customHeight="true" outlineLevel="0" collapsed="false">
      <c r="A38" s="11" t="s">
        <v>295</v>
      </c>
      <c r="B38" s="10" t="s">
        <v>239</v>
      </c>
      <c r="C38" s="10" t="s">
        <v>296</v>
      </c>
      <c r="D38" s="20" t="s">
        <v>35</v>
      </c>
      <c r="E38" s="10" t="s">
        <v>178</v>
      </c>
      <c r="F38" s="10" t="s">
        <v>297</v>
      </c>
      <c r="G38" s="10" t="s">
        <v>298</v>
      </c>
      <c r="H38" s="10" t="s">
        <v>299</v>
      </c>
      <c r="I38" s="10" t="s">
        <v>300</v>
      </c>
      <c r="J38" s="10" t="s">
        <v>31</v>
      </c>
      <c r="K38" s="19" t="s">
        <v>42</v>
      </c>
      <c r="L38" s="10" t="s">
        <v>105</v>
      </c>
      <c r="M38" s="10" t="s">
        <v>301</v>
      </c>
    </row>
    <row r="39" customFormat="false" ht="60" hidden="false" customHeight="true" outlineLevel="0" collapsed="false">
      <c r="A39" s="11" t="s">
        <v>302</v>
      </c>
      <c r="B39" s="10" t="s">
        <v>239</v>
      </c>
      <c r="C39" s="10" t="s">
        <v>303</v>
      </c>
      <c r="D39" s="15" t="s">
        <v>274</v>
      </c>
      <c r="E39" s="10" t="s">
        <v>60</v>
      </c>
      <c r="F39" s="10" t="s">
        <v>304</v>
      </c>
      <c r="G39" s="10" t="s">
        <v>305</v>
      </c>
      <c r="H39" s="10" t="s">
        <v>306</v>
      </c>
      <c r="I39" s="10" t="s">
        <v>307</v>
      </c>
      <c r="J39" s="10" t="s">
        <v>31</v>
      </c>
      <c r="K39" s="16" t="s">
        <v>40</v>
      </c>
      <c r="L39" s="10"/>
      <c r="M39" s="10" t="s">
        <v>308</v>
      </c>
    </row>
    <row r="40" customFormat="false" ht="60" hidden="false" customHeight="true" outlineLevel="0" collapsed="false">
      <c r="A40" s="11" t="s">
        <v>309</v>
      </c>
      <c r="B40" s="10" t="s">
        <v>239</v>
      </c>
      <c r="C40" s="10" t="s">
        <v>310</v>
      </c>
      <c r="D40" s="20" t="s">
        <v>35</v>
      </c>
      <c r="E40" s="10" t="s">
        <v>178</v>
      </c>
      <c r="F40" s="10" t="s">
        <v>311</v>
      </c>
      <c r="G40" s="10" t="s">
        <v>312</v>
      </c>
      <c r="H40" s="10" t="s">
        <v>313</v>
      </c>
      <c r="I40" s="10" t="s">
        <v>314</v>
      </c>
      <c r="J40" s="10" t="s">
        <v>31</v>
      </c>
      <c r="K40" s="17" t="s">
        <v>41</v>
      </c>
      <c r="L40" s="10" t="s">
        <v>315</v>
      </c>
      <c r="M40" s="10" t="s">
        <v>316</v>
      </c>
    </row>
    <row r="41" customFormat="false" ht="60" hidden="false" customHeight="true" outlineLevel="0" collapsed="false">
      <c r="A41" s="11" t="s">
        <v>317</v>
      </c>
      <c r="B41" s="10" t="s">
        <v>239</v>
      </c>
      <c r="C41" s="10" t="s">
        <v>318</v>
      </c>
      <c r="D41" s="20" t="s">
        <v>282</v>
      </c>
      <c r="E41" s="10" t="s">
        <v>60</v>
      </c>
      <c r="F41" s="10" t="s">
        <v>319</v>
      </c>
      <c r="G41" s="10" t="s">
        <v>320</v>
      </c>
      <c r="H41" s="10" t="s">
        <v>321</v>
      </c>
      <c r="I41" s="10" t="s">
        <v>322</v>
      </c>
      <c r="J41" s="10" t="s">
        <v>31</v>
      </c>
      <c r="K41" s="17" t="s">
        <v>41</v>
      </c>
      <c r="L41" s="10" t="s">
        <v>323</v>
      </c>
      <c r="M41" s="10" t="s">
        <v>324</v>
      </c>
    </row>
    <row r="42" customFormat="false" ht="60" hidden="false" customHeight="true" outlineLevel="0" collapsed="false">
      <c r="A42" s="11" t="s">
        <v>325</v>
      </c>
      <c r="B42" s="10" t="s">
        <v>326</v>
      </c>
      <c r="C42" s="10" t="s">
        <v>327</v>
      </c>
      <c r="D42" s="15" t="s">
        <v>34</v>
      </c>
      <c r="E42" s="10" t="s">
        <v>178</v>
      </c>
      <c r="F42" s="10" t="s">
        <v>328</v>
      </c>
      <c r="G42" s="10" t="s">
        <v>329</v>
      </c>
      <c r="H42" s="10" t="s">
        <v>330</v>
      </c>
      <c r="I42" s="10" t="s">
        <v>331</v>
      </c>
      <c r="J42" s="10" t="s">
        <v>31</v>
      </c>
      <c r="K42" s="10" t="s">
        <v>43</v>
      </c>
      <c r="L42" s="10"/>
      <c r="M42" s="10"/>
    </row>
    <row r="43" customFormat="false" ht="60" hidden="false" customHeight="true" outlineLevel="0" collapsed="false">
      <c r="A43" s="11" t="s">
        <v>332</v>
      </c>
      <c r="B43" s="10" t="s">
        <v>326</v>
      </c>
      <c r="C43" s="10" t="s">
        <v>333</v>
      </c>
      <c r="D43" s="15" t="s">
        <v>34</v>
      </c>
      <c r="E43" s="10" t="s">
        <v>178</v>
      </c>
      <c r="F43" s="10" t="s">
        <v>334</v>
      </c>
      <c r="G43" s="10" t="s">
        <v>335</v>
      </c>
      <c r="H43" s="10" t="s">
        <v>336</v>
      </c>
      <c r="I43" s="10" t="s">
        <v>337</v>
      </c>
      <c r="J43" s="10" t="s">
        <v>31</v>
      </c>
      <c r="K43" s="19" t="s">
        <v>42</v>
      </c>
      <c r="L43" s="10" t="s">
        <v>105</v>
      </c>
      <c r="M43" s="10" t="s">
        <v>338</v>
      </c>
    </row>
    <row r="44" customFormat="false" ht="60" hidden="false" customHeight="true" outlineLevel="0" collapsed="false">
      <c r="A44" s="11" t="s">
        <v>339</v>
      </c>
      <c r="B44" s="10" t="s">
        <v>326</v>
      </c>
      <c r="C44" s="10" t="s">
        <v>340</v>
      </c>
      <c r="D44" s="15" t="s">
        <v>34</v>
      </c>
      <c r="E44" s="10" t="s">
        <v>178</v>
      </c>
      <c r="F44" s="10" t="s">
        <v>341</v>
      </c>
      <c r="G44" s="10" t="s">
        <v>342</v>
      </c>
      <c r="H44" s="10" t="s">
        <v>343</v>
      </c>
      <c r="I44" s="10" t="s">
        <v>344</v>
      </c>
      <c r="J44" s="10" t="s">
        <v>31</v>
      </c>
      <c r="K44" s="16" t="s">
        <v>40</v>
      </c>
      <c r="L44" s="10"/>
      <c r="M44" s="10" t="s">
        <v>345</v>
      </c>
    </row>
    <row r="45" customFormat="false" ht="60" hidden="false" customHeight="true" outlineLevel="0" collapsed="false">
      <c r="A45" s="11" t="s">
        <v>346</v>
      </c>
      <c r="B45" s="10" t="s">
        <v>326</v>
      </c>
      <c r="C45" s="10" t="s">
        <v>347</v>
      </c>
      <c r="D45" s="15" t="s">
        <v>34</v>
      </c>
      <c r="E45" s="10" t="s">
        <v>178</v>
      </c>
      <c r="F45" s="10" t="s">
        <v>348</v>
      </c>
      <c r="G45" s="10" t="s">
        <v>349</v>
      </c>
      <c r="H45" s="10" t="s">
        <v>350</v>
      </c>
      <c r="I45" s="10" t="s">
        <v>351</v>
      </c>
      <c r="J45" s="10" t="s">
        <v>31</v>
      </c>
      <c r="K45" s="10" t="s">
        <v>43</v>
      </c>
      <c r="L45" s="10"/>
      <c r="M45" s="10"/>
    </row>
    <row r="46" customFormat="false" ht="60" hidden="false" customHeight="true" outlineLevel="0" collapsed="false">
      <c r="A46" s="11" t="s">
        <v>352</v>
      </c>
      <c r="B46" s="10" t="s">
        <v>326</v>
      </c>
      <c r="C46" s="10" t="s">
        <v>353</v>
      </c>
      <c r="D46" s="15" t="s">
        <v>34</v>
      </c>
      <c r="E46" s="10" t="s">
        <v>178</v>
      </c>
      <c r="F46" s="10" t="s">
        <v>354</v>
      </c>
      <c r="G46" s="10" t="s">
        <v>355</v>
      </c>
      <c r="H46" s="10" t="s">
        <v>356</v>
      </c>
      <c r="I46" s="10" t="s">
        <v>357</v>
      </c>
      <c r="J46" s="10" t="s">
        <v>31</v>
      </c>
      <c r="K46" s="10" t="s">
        <v>43</v>
      </c>
      <c r="L46" s="10"/>
      <c r="M46" s="10"/>
    </row>
    <row r="47" customFormat="false" ht="60" hidden="false" customHeight="true" outlineLevel="0" collapsed="false">
      <c r="A47" s="11" t="s">
        <v>358</v>
      </c>
      <c r="B47" s="10" t="s">
        <v>326</v>
      </c>
      <c r="C47" s="10" t="s">
        <v>359</v>
      </c>
      <c r="D47" s="20" t="s">
        <v>35</v>
      </c>
      <c r="E47" s="10" t="s">
        <v>178</v>
      </c>
      <c r="F47" s="10" t="s">
        <v>360</v>
      </c>
      <c r="G47" s="10" t="s">
        <v>361</v>
      </c>
      <c r="H47" s="10" t="s">
        <v>362</v>
      </c>
      <c r="I47" s="10" t="s">
        <v>363</v>
      </c>
      <c r="J47" s="10" t="s">
        <v>31</v>
      </c>
      <c r="K47" s="10" t="s">
        <v>43</v>
      </c>
      <c r="L47" s="10"/>
      <c r="M47" s="10"/>
    </row>
    <row r="48" customFormat="false" ht="60" hidden="false" customHeight="true" outlineLevel="0" collapsed="false">
      <c r="A48" s="11" t="s">
        <v>364</v>
      </c>
      <c r="B48" s="10" t="s">
        <v>326</v>
      </c>
      <c r="C48" s="10" t="s">
        <v>365</v>
      </c>
      <c r="D48" s="15" t="s">
        <v>34</v>
      </c>
      <c r="E48" s="10" t="s">
        <v>178</v>
      </c>
      <c r="F48" s="10" t="s">
        <v>366</v>
      </c>
      <c r="G48" s="10" t="s">
        <v>367</v>
      </c>
      <c r="H48" s="10" t="s">
        <v>368</v>
      </c>
      <c r="I48" s="10" t="s">
        <v>369</v>
      </c>
      <c r="J48" s="10" t="s">
        <v>31</v>
      </c>
      <c r="K48" s="10" t="s">
        <v>43</v>
      </c>
      <c r="L48" s="10"/>
      <c r="M48" s="10"/>
    </row>
    <row r="49" customFormat="false" ht="60" hidden="false" customHeight="true" outlineLevel="0" collapsed="false">
      <c r="A49" s="11" t="s">
        <v>370</v>
      </c>
      <c r="B49" s="10" t="s">
        <v>371</v>
      </c>
      <c r="C49" s="10" t="s">
        <v>372</v>
      </c>
      <c r="D49" s="15" t="s">
        <v>34</v>
      </c>
      <c r="E49" s="10" t="s">
        <v>60</v>
      </c>
      <c r="F49" s="10" t="s">
        <v>373</v>
      </c>
      <c r="G49" s="10" t="s">
        <v>374</v>
      </c>
      <c r="H49" s="10" t="s">
        <v>375</v>
      </c>
      <c r="I49" s="10" t="s">
        <v>376</v>
      </c>
      <c r="J49" s="10" t="s">
        <v>31</v>
      </c>
      <c r="K49" s="17" t="s">
        <v>41</v>
      </c>
      <c r="L49" s="10" t="s">
        <v>236</v>
      </c>
      <c r="M49" s="10" t="s">
        <v>377</v>
      </c>
    </row>
    <row r="50" customFormat="false" ht="60" hidden="false" customHeight="true" outlineLevel="0" collapsed="false">
      <c r="A50" s="11" t="s">
        <v>378</v>
      </c>
      <c r="B50" s="10" t="s">
        <v>371</v>
      </c>
      <c r="C50" s="10" t="s">
        <v>379</v>
      </c>
      <c r="D50" s="15" t="s">
        <v>34</v>
      </c>
      <c r="E50" s="10" t="s">
        <v>178</v>
      </c>
      <c r="F50" s="10" t="s">
        <v>380</v>
      </c>
      <c r="G50" s="10" t="s">
        <v>381</v>
      </c>
      <c r="H50" s="10" t="s">
        <v>382</v>
      </c>
      <c r="I50" s="10" t="s">
        <v>383</v>
      </c>
      <c r="J50" s="10" t="s">
        <v>31</v>
      </c>
      <c r="K50" s="10" t="s">
        <v>43</v>
      </c>
      <c r="L50" s="10"/>
      <c r="M50" s="10"/>
    </row>
    <row r="51" customFormat="false" ht="60" hidden="false" customHeight="true" outlineLevel="0" collapsed="false">
      <c r="A51" s="11" t="s">
        <v>384</v>
      </c>
      <c r="B51" s="10" t="s">
        <v>371</v>
      </c>
      <c r="C51" s="10" t="s">
        <v>385</v>
      </c>
      <c r="D51" s="15" t="s">
        <v>34</v>
      </c>
      <c r="E51" s="10" t="s">
        <v>60</v>
      </c>
      <c r="F51" s="10" t="s">
        <v>386</v>
      </c>
      <c r="G51" s="10" t="s">
        <v>387</v>
      </c>
      <c r="H51" s="10" t="s">
        <v>388</v>
      </c>
      <c r="I51" s="10" t="s">
        <v>389</v>
      </c>
      <c r="J51" s="10" t="s">
        <v>31</v>
      </c>
      <c r="K51" s="10" t="s">
        <v>43</v>
      </c>
      <c r="L51" s="10"/>
      <c r="M51" s="10"/>
    </row>
    <row r="52" customFormat="false" ht="60" hidden="false" customHeight="true" outlineLevel="0" collapsed="false">
      <c r="A52" s="11" t="s">
        <v>390</v>
      </c>
      <c r="B52" s="10" t="s">
        <v>391</v>
      </c>
      <c r="C52" s="10" t="s">
        <v>392</v>
      </c>
      <c r="D52" s="15" t="s">
        <v>34</v>
      </c>
      <c r="E52" s="10" t="s">
        <v>178</v>
      </c>
      <c r="F52" s="10" t="s">
        <v>393</v>
      </c>
      <c r="G52" s="10" t="s">
        <v>394</v>
      </c>
      <c r="H52" s="10" t="s">
        <v>395</v>
      </c>
      <c r="I52" s="10" t="s">
        <v>396</v>
      </c>
      <c r="J52" s="10" t="s">
        <v>31</v>
      </c>
      <c r="K52" s="19" t="s">
        <v>42</v>
      </c>
      <c r="L52" s="10" t="s">
        <v>105</v>
      </c>
      <c r="M52" s="10" t="s">
        <v>397</v>
      </c>
    </row>
    <row r="53" customFormat="false" ht="60" hidden="false" customHeight="true" outlineLevel="0" collapsed="false">
      <c r="A53" s="11" t="s">
        <v>398</v>
      </c>
      <c r="B53" s="10" t="s">
        <v>391</v>
      </c>
      <c r="C53" s="10" t="s">
        <v>399</v>
      </c>
      <c r="D53" s="15" t="s">
        <v>34</v>
      </c>
      <c r="E53" s="10" t="s">
        <v>60</v>
      </c>
      <c r="F53" s="10" t="s">
        <v>400</v>
      </c>
      <c r="G53" s="10" t="s">
        <v>401</v>
      </c>
      <c r="H53" s="10" t="s">
        <v>402</v>
      </c>
      <c r="I53" s="10" t="s">
        <v>403</v>
      </c>
      <c r="J53" s="10" t="s">
        <v>31</v>
      </c>
      <c r="K53" s="19" t="s">
        <v>42</v>
      </c>
      <c r="L53" s="10" t="s">
        <v>105</v>
      </c>
      <c r="M53" s="10" t="s">
        <v>404</v>
      </c>
    </row>
    <row r="54" customFormat="false" ht="60" hidden="false" customHeight="true" outlineLevel="0" collapsed="false">
      <c r="A54" s="11" t="s">
        <v>405</v>
      </c>
      <c r="B54" s="10" t="s">
        <v>391</v>
      </c>
      <c r="C54" s="10" t="s">
        <v>406</v>
      </c>
      <c r="D54" s="15" t="s">
        <v>34</v>
      </c>
      <c r="E54" s="10" t="s">
        <v>178</v>
      </c>
      <c r="F54" s="10" t="s">
        <v>407</v>
      </c>
      <c r="G54" s="10" t="s">
        <v>408</v>
      </c>
      <c r="H54" s="10" t="s">
        <v>409</v>
      </c>
      <c r="I54" s="10" t="s">
        <v>410</v>
      </c>
      <c r="J54" s="10" t="s">
        <v>31</v>
      </c>
      <c r="K54" s="19" t="s">
        <v>42</v>
      </c>
      <c r="L54" s="10" t="s">
        <v>105</v>
      </c>
      <c r="M54" s="10" t="s">
        <v>411</v>
      </c>
    </row>
    <row r="55" customFormat="false" ht="60" hidden="false" customHeight="true" outlineLevel="0" collapsed="false">
      <c r="A55" s="11" t="s">
        <v>412</v>
      </c>
      <c r="B55" s="10" t="s">
        <v>391</v>
      </c>
      <c r="C55" s="10" t="s">
        <v>413</v>
      </c>
      <c r="D55" s="20" t="s">
        <v>35</v>
      </c>
      <c r="E55" s="10" t="s">
        <v>60</v>
      </c>
      <c r="F55" s="10" t="s">
        <v>414</v>
      </c>
      <c r="G55" s="10" t="s">
        <v>415</v>
      </c>
      <c r="H55" s="10" t="s">
        <v>416</v>
      </c>
      <c r="I55" s="10" t="s">
        <v>417</v>
      </c>
      <c r="J55" s="10" t="s">
        <v>31</v>
      </c>
      <c r="K55" s="16" t="s">
        <v>40</v>
      </c>
      <c r="L55" s="10"/>
      <c r="M55" s="10" t="s">
        <v>418</v>
      </c>
    </row>
    <row r="56" customFormat="false" ht="60" hidden="false" customHeight="true" outlineLevel="0" collapsed="false">
      <c r="A56" s="11" t="s">
        <v>419</v>
      </c>
      <c r="B56" s="10" t="s">
        <v>420</v>
      </c>
      <c r="C56" s="10" t="s">
        <v>421</v>
      </c>
      <c r="D56" s="15" t="s">
        <v>34</v>
      </c>
      <c r="E56" s="10" t="s">
        <v>178</v>
      </c>
      <c r="F56" s="10" t="s">
        <v>422</v>
      </c>
      <c r="G56" s="10" t="s">
        <v>180</v>
      </c>
      <c r="H56" s="10" t="s">
        <v>423</v>
      </c>
      <c r="I56" s="10" t="s">
        <v>424</v>
      </c>
      <c r="J56" s="10" t="s">
        <v>31</v>
      </c>
      <c r="K56" s="17" t="s">
        <v>41</v>
      </c>
      <c r="L56" s="10" t="s">
        <v>105</v>
      </c>
      <c r="M56" s="10" t="s">
        <v>425</v>
      </c>
    </row>
    <row r="57" customFormat="false" ht="60" hidden="false" customHeight="true" outlineLevel="0" collapsed="false">
      <c r="A57" s="11" t="s">
        <v>426</v>
      </c>
      <c r="B57" s="10" t="s">
        <v>420</v>
      </c>
      <c r="C57" s="10" t="s">
        <v>427</v>
      </c>
      <c r="D57" s="15" t="s">
        <v>34</v>
      </c>
      <c r="E57" s="10" t="s">
        <v>178</v>
      </c>
      <c r="F57" s="10" t="s">
        <v>428</v>
      </c>
      <c r="G57" s="10" t="s">
        <v>429</v>
      </c>
      <c r="H57" s="10" t="s">
        <v>430</v>
      </c>
      <c r="I57" s="10" t="s">
        <v>431</v>
      </c>
      <c r="J57" s="10" t="s">
        <v>31</v>
      </c>
      <c r="K57" s="19" t="s">
        <v>42</v>
      </c>
      <c r="L57" s="10" t="s">
        <v>105</v>
      </c>
      <c r="M57" s="10" t="s">
        <v>432</v>
      </c>
    </row>
    <row r="58" customFormat="false" ht="60" hidden="false" customHeight="true" outlineLevel="0" collapsed="false">
      <c r="A58" s="11" t="s">
        <v>433</v>
      </c>
      <c r="B58" s="10" t="s">
        <v>420</v>
      </c>
      <c r="C58" s="10" t="s">
        <v>434</v>
      </c>
      <c r="D58" s="20" t="s">
        <v>35</v>
      </c>
      <c r="E58" s="10" t="s">
        <v>178</v>
      </c>
      <c r="F58" s="10" t="s">
        <v>435</v>
      </c>
      <c r="G58" s="10" t="s">
        <v>436</v>
      </c>
      <c r="H58" s="10" t="s">
        <v>437</v>
      </c>
      <c r="I58" s="10" t="s">
        <v>438</v>
      </c>
      <c r="J58" s="10" t="s">
        <v>31</v>
      </c>
      <c r="K58" s="19" t="s">
        <v>42</v>
      </c>
      <c r="L58" s="10" t="s">
        <v>105</v>
      </c>
      <c r="M58" s="10" t="s">
        <v>439</v>
      </c>
    </row>
    <row r="59" customFormat="false" ht="60" hidden="false" customHeight="true" outlineLevel="0" collapsed="false">
      <c r="A59" s="11" t="s">
        <v>440</v>
      </c>
      <c r="B59" s="10" t="s">
        <v>441</v>
      </c>
      <c r="C59" s="10" t="s">
        <v>442</v>
      </c>
      <c r="D59" s="20" t="s">
        <v>35</v>
      </c>
      <c r="E59" s="10" t="s">
        <v>60</v>
      </c>
      <c r="F59" s="10" t="s">
        <v>443</v>
      </c>
      <c r="G59" s="10" t="s">
        <v>444</v>
      </c>
      <c r="H59" s="10" t="s">
        <v>445</v>
      </c>
      <c r="I59" s="10" t="s">
        <v>446</v>
      </c>
      <c r="J59" s="10" t="s">
        <v>31</v>
      </c>
      <c r="K59" s="19" t="s">
        <v>42</v>
      </c>
      <c r="L59" s="10" t="s">
        <v>105</v>
      </c>
      <c r="M59" s="10" t="s">
        <v>447</v>
      </c>
    </row>
    <row r="60" customFormat="false" ht="60" hidden="false" customHeight="true" outlineLevel="0" collapsed="false">
      <c r="A60" s="11" t="s">
        <v>448</v>
      </c>
      <c r="B60" s="10" t="s">
        <v>441</v>
      </c>
      <c r="C60" s="10" t="s">
        <v>449</v>
      </c>
      <c r="D60" s="15" t="s">
        <v>34</v>
      </c>
      <c r="E60" s="10" t="s">
        <v>178</v>
      </c>
      <c r="F60" s="10" t="s">
        <v>450</v>
      </c>
      <c r="G60" s="10" t="s">
        <v>451</v>
      </c>
      <c r="H60" s="10" t="s">
        <v>452</v>
      </c>
      <c r="I60" s="10" t="s">
        <v>453</v>
      </c>
      <c r="J60" s="10" t="s">
        <v>31</v>
      </c>
      <c r="K60" s="19" t="s">
        <v>42</v>
      </c>
      <c r="L60" s="10" t="s">
        <v>105</v>
      </c>
      <c r="M60" s="10" t="s">
        <v>447</v>
      </c>
    </row>
    <row r="61" customFormat="false" ht="60" hidden="false" customHeight="true" outlineLevel="0" collapsed="false">
      <c r="A61" s="11" t="s">
        <v>454</v>
      </c>
      <c r="B61" s="10" t="s">
        <v>441</v>
      </c>
      <c r="C61" s="10" t="s">
        <v>455</v>
      </c>
      <c r="D61" s="15" t="s">
        <v>34</v>
      </c>
      <c r="E61" s="10" t="s">
        <v>178</v>
      </c>
      <c r="F61" s="10" t="s">
        <v>456</v>
      </c>
      <c r="G61" s="10" t="s">
        <v>457</v>
      </c>
      <c r="H61" s="10" t="s">
        <v>458</v>
      </c>
      <c r="I61" s="10" t="s">
        <v>459</v>
      </c>
      <c r="J61" s="10" t="s">
        <v>31</v>
      </c>
      <c r="K61" s="19" t="s">
        <v>42</v>
      </c>
      <c r="L61" s="10" t="s">
        <v>105</v>
      </c>
      <c r="M61" s="10" t="s">
        <v>460</v>
      </c>
    </row>
    <row r="62" customFormat="false" ht="60" hidden="false" customHeight="true" outlineLevel="0" collapsed="false">
      <c r="A62" s="11" t="s">
        <v>461</v>
      </c>
      <c r="B62" s="10" t="s">
        <v>441</v>
      </c>
      <c r="C62" s="10" t="s">
        <v>462</v>
      </c>
      <c r="D62" s="20" t="s">
        <v>35</v>
      </c>
      <c r="E62" s="10" t="s">
        <v>178</v>
      </c>
      <c r="F62" s="10" t="s">
        <v>463</v>
      </c>
      <c r="G62" s="10" t="s">
        <v>464</v>
      </c>
      <c r="H62" s="10" t="s">
        <v>465</v>
      </c>
      <c r="I62" s="10" t="s">
        <v>466</v>
      </c>
      <c r="J62" s="10" t="s">
        <v>31</v>
      </c>
      <c r="K62" s="19" t="s">
        <v>42</v>
      </c>
      <c r="L62" s="10" t="s">
        <v>105</v>
      </c>
      <c r="M62" s="10" t="s">
        <v>467</v>
      </c>
    </row>
    <row r="63" customFormat="false" ht="60" hidden="false" customHeight="true" outlineLevel="0" collapsed="false">
      <c r="A63" s="11" t="s">
        <v>468</v>
      </c>
      <c r="B63" s="10" t="s">
        <v>441</v>
      </c>
      <c r="C63" s="10" t="s">
        <v>469</v>
      </c>
      <c r="D63" s="15" t="s">
        <v>34</v>
      </c>
      <c r="E63" s="10" t="s">
        <v>178</v>
      </c>
      <c r="F63" s="10" t="s">
        <v>470</v>
      </c>
      <c r="G63" s="10" t="s">
        <v>471</v>
      </c>
      <c r="H63" s="10" t="s">
        <v>472</v>
      </c>
      <c r="I63" s="10" t="s">
        <v>473</v>
      </c>
      <c r="J63" s="10" t="s">
        <v>31</v>
      </c>
      <c r="K63" s="19" t="s">
        <v>42</v>
      </c>
      <c r="L63" s="10" t="s">
        <v>474</v>
      </c>
      <c r="M63" s="10" t="s">
        <v>475</v>
      </c>
    </row>
    <row r="64" customFormat="false" ht="60" hidden="false" customHeight="true" outlineLevel="0" collapsed="false">
      <c r="A64" s="11" t="s">
        <v>476</v>
      </c>
      <c r="B64" s="10" t="s">
        <v>477</v>
      </c>
      <c r="C64" s="10" t="s">
        <v>478</v>
      </c>
      <c r="D64" s="20" t="s">
        <v>35</v>
      </c>
      <c r="E64" s="10" t="s">
        <v>178</v>
      </c>
      <c r="F64" s="10" t="s">
        <v>479</v>
      </c>
      <c r="G64" s="10" t="s">
        <v>480</v>
      </c>
      <c r="H64" s="10" t="s">
        <v>481</v>
      </c>
      <c r="I64" s="10" t="s">
        <v>482</v>
      </c>
      <c r="J64" s="10" t="s">
        <v>31</v>
      </c>
      <c r="K64" s="19" t="s">
        <v>42</v>
      </c>
      <c r="L64" s="10" t="s">
        <v>483</v>
      </c>
      <c r="M64" s="10" t="s">
        <v>484</v>
      </c>
    </row>
    <row r="65" customFormat="false" ht="60" hidden="false" customHeight="true" outlineLevel="0" collapsed="false">
      <c r="A65" s="11" t="s">
        <v>485</v>
      </c>
      <c r="B65" s="10" t="s">
        <v>477</v>
      </c>
      <c r="C65" s="10" t="s">
        <v>486</v>
      </c>
      <c r="D65" s="15" t="s">
        <v>34</v>
      </c>
      <c r="E65" s="10" t="s">
        <v>60</v>
      </c>
      <c r="F65" s="10" t="s">
        <v>487</v>
      </c>
      <c r="G65" s="10" t="s">
        <v>488</v>
      </c>
      <c r="H65" s="10" t="s">
        <v>489</v>
      </c>
      <c r="I65" s="10" t="s">
        <v>490</v>
      </c>
      <c r="J65" s="10" t="s">
        <v>31</v>
      </c>
      <c r="K65" s="19" t="s">
        <v>42</v>
      </c>
      <c r="L65" s="10" t="s">
        <v>491</v>
      </c>
      <c r="M65" s="10" t="s">
        <v>492</v>
      </c>
    </row>
    <row r="66" customFormat="false" ht="60" hidden="false" customHeight="true" outlineLevel="0" collapsed="false">
      <c r="A66" s="11" t="s">
        <v>493</v>
      </c>
      <c r="B66" s="10" t="s">
        <v>477</v>
      </c>
      <c r="C66" s="10" t="s">
        <v>494</v>
      </c>
      <c r="D66" s="20" t="s">
        <v>35</v>
      </c>
      <c r="E66" s="10" t="s">
        <v>178</v>
      </c>
      <c r="F66" s="10" t="s">
        <v>495</v>
      </c>
      <c r="G66" s="10" t="s">
        <v>496</v>
      </c>
      <c r="H66" s="10" t="s">
        <v>497</v>
      </c>
      <c r="I66" s="10" t="s">
        <v>498</v>
      </c>
      <c r="J66" s="10" t="s">
        <v>31</v>
      </c>
      <c r="K66" s="19" t="s">
        <v>42</v>
      </c>
      <c r="L66" s="10" t="s">
        <v>499</v>
      </c>
      <c r="M66" s="10" t="s">
        <v>500</v>
      </c>
    </row>
    <row r="67" customFormat="false" ht="60" hidden="false" customHeight="true" outlineLevel="0" collapsed="false">
      <c r="A67" s="11" t="s">
        <v>501</v>
      </c>
      <c r="B67" s="10" t="s">
        <v>477</v>
      </c>
      <c r="C67" s="10" t="s">
        <v>502</v>
      </c>
      <c r="D67" s="20" t="s">
        <v>35</v>
      </c>
      <c r="E67" s="10" t="s">
        <v>178</v>
      </c>
      <c r="F67" s="10" t="s">
        <v>503</v>
      </c>
      <c r="G67" s="10" t="s">
        <v>504</v>
      </c>
      <c r="H67" s="10" t="s">
        <v>505</v>
      </c>
      <c r="I67" s="10" t="s">
        <v>506</v>
      </c>
      <c r="J67" s="10" t="s">
        <v>31</v>
      </c>
      <c r="K67" s="19" t="s">
        <v>42</v>
      </c>
      <c r="L67" s="10" t="s">
        <v>507</v>
      </c>
      <c r="M67" s="10" t="s">
        <v>508</v>
      </c>
    </row>
    <row r="68" customFormat="false" ht="60" hidden="false" customHeight="true" outlineLevel="0" collapsed="false">
      <c r="A68" s="11" t="s">
        <v>509</v>
      </c>
      <c r="B68" s="10" t="s">
        <v>510</v>
      </c>
      <c r="C68" s="10" t="s">
        <v>511</v>
      </c>
      <c r="D68" s="15" t="s">
        <v>34</v>
      </c>
      <c r="E68" s="10" t="s">
        <v>208</v>
      </c>
      <c r="F68" s="10" t="s">
        <v>512</v>
      </c>
      <c r="G68" s="10" t="s">
        <v>513</v>
      </c>
      <c r="H68" s="10" t="s">
        <v>514</v>
      </c>
      <c r="I68" s="10" t="s">
        <v>515</v>
      </c>
      <c r="J68" s="10" t="s">
        <v>31</v>
      </c>
      <c r="K68" s="19" t="s">
        <v>42</v>
      </c>
      <c r="L68" s="10" t="s">
        <v>105</v>
      </c>
      <c r="M68" s="10" t="s">
        <v>516</v>
      </c>
    </row>
    <row r="69" customFormat="false" ht="60" hidden="false" customHeight="true" outlineLevel="0" collapsed="false">
      <c r="A69" s="11" t="s">
        <v>517</v>
      </c>
      <c r="B69" s="10" t="s">
        <v>510</v>
      </c>
      <c r="C69" s="10" t="s">
        <v>518</v>
      </c>
      <c r="D69" s="15" t="s">
        <v>34</v>
      </c>
      <c r="E69" s="10" t="s">
        <v>178</v>
      </c>
      <c r="F69" s="10" t="s">
        <v>519</v>
      </c>
      <c r="G69" s="10" t="s">
        <v>520</v>
      </c>
      <c r="H69" s="10" t="s">
        <v>521</v>
      </c>
      <c r="I69" s="10" t="s">
        <v>522</v>
      </c>
      <c r="J69" s="10" t="s">
        <v>31</v>
      </c>
      <c r="K69" s="19" t="s">
        <v>42</v>
      </c>
      <c r="L69" s="10" t="s">
        <v>523</v>
      </c>
      <c r="M69" s="10" t="s">
        <v>524</v>
      </c>
    </row>
    <row r="70" customFormat="false" ht="60" hidden="false" customHeight="true" outlineLevel="0" collapsed="false">
      <c r="A70" s="11" t="s">
        <v>525</v>
      </c>
      <c r="B70" s="10" t="s">
        <v>510</v>
      </c>
      <c r="C70" s="10" t="s">
        <v>526</v>
      </c>
      <c r="D70" s="20" t="s">
        <v>35</v>
      </c>
      <c r="E70" s="10" t="s">
        <v>178</v>
      </c>
      <c r="F70" s="10" t="s">
        <v>527</v>
      </c>
      <c r="G70" s="10" t="s">
        <v>528</v>
      </c>
      <c r="H70" s="10" t="s">
        <v>529</v>
      </c>
      <c r="I70" s="10" t="s">
        <v>530</v>
      </c>
      <c r="J70" s="10" t="s">
        <v>31</v>
      </c>
      <c r="K70" s="10" t="s">
        <v>43</v>
      </c>
      <c r="L70" s="10"/>
      <c r="M70" s="10"/>
    </row>
    <row r="71" customFormat="false" ht="60" hidden="false" customHeight="true" outlineLevel="0" collapsed="false">
      <c r="A71" s="11" t="s">
        <v>531</v>
      </c>
      <c r="B71" s="10" t="s">
        <v>532</v>
      </c>
      <c r="C71" s="10" t="s">
        <v>533</v>
      </c>
      <c r="D71" s="15" t="s">
        <v>34</v>
      </c>
      <c r="E71" s="10" t="s">
        <v>178</v>
      </c>
      <c r="F71" s="10" t="s">
        <v>534</v>
      </c>
      <c r="G71" s="10" t="s">
        <v>535</v>
      </c>
      <c r="H71" s="10" t="s">
        <v>536</v>
      </c>
      <c r="I71" s="10" t="s">
        <v>537</v>
      </c>
      <c r="J71" s="10" t="s">
        <v>31</v>
      </c>
      <c r="K71" s="19" t="s">
        <v>42</v>
      </c>
      <c r="L71" s="10" t="s">
        <v>538</v>
      </c>
      <c r="M71" s="10" t="s">
        <v>539</v>
      </c>
    </row>
    <row r="72" customFormat="false" ht="60" hidden="false" customHeight="true" outlineLevel="0" collapsed="false">
      <c r="A72" s="11" t="s">
        <v>540</v>
      </c>
      <c r="B72" s="10" t="s">
        <v>532</v>
      </c>
      <c r="C72" s="10" t="s">
        <v>541</v>
      </c>
      <c r="D72" s="15" t="s">
        <v>34</v>
      </c>
      <c r="E72" s="10" t="s">
        <v>178</v>
      </c>
      <c r="F72" s="10" t="s">
        <v>542</v>
      </c>
      <c r="G72" s="10" t="s">
        <v>543</v>
      </c>
      <c r="H72" s="10" t="s">
        <v>544</v>
      </c>
      <c r="I72" s="10" t="s">
        <v>545</v>
      </c>
      <c r="J72" s="10" t="s">
        <v>31</v>
      </c>
      <c r="K72" s="19" t="s">
        <v>42</v>
      </c>
      <c r="L72" s="10" t="s">
        <v>538</v>
      </c>
      <c r="M72" s="10" t="s">
        <v>539</v>
      </c>
    </row>
    <row r="73" customFormat="false" ht="60" hidden="false" customHeight="true" outlineLevel="0" collapsed="false">
      <c r="A73" s="11" t="s">
        <v>546</v>
      </c>
      <c r="B73" s="10" t="s">
        <v>532</v>
      </c>
      <c r="C73" s="10" t="s">
        <v>547</v>
      </c>
      <c r="D73" s="20" t="s">
        <v>35</v>
      </c>
      <c r="E73" s="10" t="s">
        <v>548</v>
      </c>
      <c r="F73" s="10" t="s">
        <v>549</v>
      </c>
      <c r="G73" s="10" t="s">
        <v>550</v>
      </c>
      <c r="H73" s="10" t="s">
        <v>551</v>
      </c>
      <c r="I73" s="10" t="s">
        <v>552</v>
      </c>
      <c r="J73" s="10" t="s">
        <v>31</v>
      </c>
      <c r="K73" s="19" t="s">
        <v>42</v>
      </c>
      <c r="L73" s="10" t="s">
        <v>538</v>
      </c>
      <c r="M73" s="10" t="s">
        <v>553</v>
      </c>
    </row>
    <row r="74" customFormat="false" ht="60" hidden="false" customHeight="true" outlineLevel="0" collapsed="false">
      <c r="A74" s="11" t="s">
        <v>554</v>
      </c>
      <c r="B74" s="10" t="s">
        <v>555</v>
      </c>
      <c r="C74" s="10" t="s">
        <v>556</v>
      </c>
      <c r="D74" s="20" t="s">
        <v>35</v>
      </c>
      <c r="E74" s="10" t="s">
        <v>60</v>
      </c>
      <c r="F74" s="10" t="s">
        <v>557</v>
      </c>
      <c r="G74" s="10" t="s">
        <v>558</v>
      </c>
      <c r="H74" s="10" t="s">
        <v>559</v>
      </c>
      <c r="I74" s="10" t="s">
        <v>560</v>
      </c>
      <c r="J74" s="10" t="s">
        <v>31</v>
      </c>
      <c r="K74" s="16" t="s">
        <v>40</v>
      </c>
      <c r="L74" s="10"/>
      <c r="M74" s="10" t="s">
        <v>561</v>
      </c>
    </row>
    <row r="75" customFormat="false" ht="60" hidden="false" customHeight="true" outlineLevel="0" collapsed="false">
      <c r="A75" s="11" t="s">
        <v>562</v>
      </c>
      <c r="B75" s="10" t="s">
        <v>555</v>
      </c>
      <c r="C75" s="10" t="s">
        <v>563</v>
      </c>
      <c r="D75" s="20" t="s">
        <v>35</v>
      </c>
      <c r="E75" s="10" t="s">
        <v>178</v>
      </c>
      <c r="F75" s="10" t="s">
        <v>564</v>
      </c>
      <c r="G75" s="10" t="s">
        <v>565</v>
      </c>
      <c r="H75" s="10" t="s">
        <v>566</v>
      </c>
      <c r="I75" s="10" t="s">
        <v>567</v>
      </c>
      <c r="J75" s="10" t="s">
        <v>31</v>
      </c>
      <c r="K75" s="16" t="s">
        <v>40</v>
      </c>
      <c r="L75" s="10"/>
      <c r="M75" s="10" t="s">
        <v>568</v>
      </c>
    </row>
    <row r="76" customFormat="false" ht="60" hidden="false" customHeight="true" outlineLevel="0" collapsed="false">
      <c r="A76" s="11" t="s">
        <v>569</v>
      </c>
      <c r="B76" s="10" t="s">
        <v>555</v>
      </c>
      <c r="C76" s="10" t="s">
        <v>570</v>
      </c>
      <c r="D76" s="15" t="s">
        <v>34</v>
      </c>
      <c r="E76" s="10" t="s">
        <v>178</v>
      </c>
      <c r="F76" s="10" t="s">
        <v>571</v>
      </c>
      <c r="G76" s="10" t="s">
        <v>572</v>
      </c>
      <c r="H76" s="10" t="s">
        <v>573</v>
      </c>
      <c r="I76" s="10" t="s">
        <v>574</v>
      </c>
      <c r="J76" s="10" t="s">
        <v>31</v>
      </c>
      <c r="K76" s="10" t="s">
        <v>43</v>
      </c>
      <c r="L76" s="10"/>
      <c r="M76" s="10"/>
    </row>
    <row r="77" customFormat="false" ht="60" hidden="false" customHeight="true" outlineLevel="0" collapsed="false">
      <c r="A77" s="11" t="s">
        <v>575</v>
      </c>
      <c r="B77" s="10" t="s">
        <v>555</v>
      </c>
      <c r="C77" s="10" t="s">
        <v>576</v>
      </c>
      <c r="D77" s="15" t="s">
        <v>34</v>
      </c>
      <c r="E77" s="10" t="s">
        <v>178</v>
      </c>
      <c r="F77" s="10" t="s">
        <v>577</v>
      </c>
      <c r="G77" s="10" t="s">
        <v>578</v>
      </c>
      <c r="H77" s="10" t="s">
        <v>579</v>
      </c>
      <c r="I77" s="10" t="s">
        <v>580</v>
      </c>
      <c r="J77" s="10" t="s">
        <v>31</v>
      </c>
      <c r="K77" s="10" t="s">
        <v>43</v>
      </c>
      <c r="L77" s="10"/>
      <c r="M77" s="10"/>
    </row>
    <row r="78" customFormat="false" ht="60" hidden="false" customHeight="true" outlineLevel="0" collapsed="false">
      <c r="A78" s="11" t="s">
        <v>581</v>
      </c>
      <c r="B78" s="10" t="s">
        <v>555</v>
      </c>
      <c r="C78" s="10" t="s">
        <v>582</v>
      </c>
      <c r="D78" s="15" t="s">
        <v>34</v>
      </c>
      <c r="E78" s="10" t="s">
        <v>60</v>
      </c>
      <c r="F78" s="10" t="s">
        <v>583</v>
      </c>
      <c r="G78" s="10" t="s">
        <v>584</v>
      </c>
      <c r="H78" s="10" t="s">
        <v>585</v>
      </c>
      <c r="I78" s="10" t="s">
        <v>586</v>
      </c>
      <c r="J78" s="10" t="s">
        <v>31</v>
      </c>
      <c r="K78" s="10" t="s">
        <v>43</v>
      </c>
      <c r="L78" s="10"/>
      <c r="M78" s="10"/>
    </row>
    <row r="79" customFormat="false" ht="60" hidden="false" customHeight="true" outlineLevel="0" collapsed="false">
      <c r="A79" s="11" t="s">
        <v>587</v>
      </c>
      <c r="B79" s="10" t="s">
        <v>588</v>
      </c>
      <c r="C79" s="10" t="s">
        <v>589</v>
      </c>
      <c r="D79" s="15" t="s">
        <v>34</v>
      </c>
      <c r="E79" s="10" t="s">
        <v>60</v>
      </c>
      <c r="F79" s="10" t="s">
        <v>590</v>
      </c>
      <c r="G79" s="10" t="s">
        <v>591</v>
      </c>
      <c r="H79" s="10" t="s">
        <v>592</v>
      </c>
      <c r="I79" s="10" t="s">
        <v>593</v>
      </c>
      <c r="J79" s="10" t="s">
        <v>31</v>
      </c>
      <c r="K79" s="16" t="s">
        <v>40</v>
      </c>
      <c r="L79" s="10"/>
      <c r="M79" s="10" t="s">
        <v>594</v>
      </c>
    </row>
    <row r="80" customFormat="false" ht="60" hidden="false" customHeight="true" outlineLevel="0" collapsed="false">
      <c r="A80" s="11" t="s">
        <v>595</v>
      </c>
      <c r="B80" s="10" t="s">
        <v>588</v>
      </c>
      <c r="C80" s="10" t="s">
        <v>596</v>
      </c>
      <c r="D80" s="15" t="s">
        <v>34</v>
      </c>
      <c r="E80" s="10" t="s">
        <v>60</v>
      </c>
      <c r="F80" s="10" t="s">
        <v>597</v>
      </c>
      <c r="G80" s="10" t="s">
        <v>598</v>
      </c>
      <c r="H80" s="10" t="s">
        <v>599</v>
      </c>
      <c r="I80" s="10" t="s">
        <v>600</v>
      </c>
      <c r="J80" s="10" t="s">
        <v>31</v>
      </c>
      <c r="K80" s="10" t="s">
        <v>43</v>
      </c>
      <c r="L80" s="10"/>
      <c r="M80" s="10"/>
    </row>
    <row r="81" customFormat="false" ht="60" hidden="false" customHeight="true" outlineLevel="0" collapsed="false">
      <c r="A81" s="11" t="s">
        <v>601</v>
      </c>
      <c r="B81" s="10" t="s">
        <v>588</v>
      </c>
      <c r="C81" s="10" t="s">
        <v>602</v>
      </c>
      <c r="D81" s="20" t="s">
        <v>35</v>
      </c>
      <c r="E81" s="10" t="s">
        <v>208</v>
      </c>
      <c r="F81" s="10" t="s">
        <v>603</v>
      </c>
      <c r="G81" s="10" t="s">
        <v>604</v>
      </c>
      <c r="H81" s="10" t="s">
        <v>605</v>
      </c>
      <c r="I81" s="10" t="s">
        <v>606</v>
      </c>
      <c r="J81" s="10" t="s">
        <v>31</v>
      </c>
      <c r="K81" s="16" t="s">
        <v>40</v>
      </c>
      <c r="L81" s="10"/>
      <c r="M81" s="10" t="s">
        <v>607</v>
      </c>
    </row>
    <row r="82" customFormat="false" ht="60" hidden="false" customHeight="true" outlineLevel="0" collapsed="false">
      <c r="A82" s="11" t="s">
        <v>608</v>
      </c>
      <c r="B82" s="10" t="s">
        <v>588</v>
      </c>
      <c r="C82" s="10" t="s">
        <v>609</v>
      </c>
      <c r="D82" s="15" t="s">
        <v>34</v>
      </c>
      <c r="E82" s="10" t="s">
        <v>178</v>
      </c>
      <c r="F82" s="10" t="s">
        <v>610</v>
      </c>
      <c r="G82" s="10" t="s">
        <v>611</v>
      </c>
      <c r="H82" s="10" t="s">
        <v>612</v>
      </c>
      <c r="I82" s="10" t="s">
        <v>613</v>
      </c>
      <c r="J82" s="10" t="s">
        <v>31</v>
      </c>
      <c r="K82" s="10" t="s">
        <v>43</v>
      </c>
      <c r="L82" s="10"/>
      <c r="M82" s="10"/>
    </row>
    <row r="83" customFormat="false" ht="60" hidden="false" customHeight="true" outlineLevel="0" collapsed="false">
      <c r="A83" s="11" t="s">
        <v>614</v>
      </c>
      <c r="B83" s="10" t="s">
        <v>615</v>
      </c>
      <c r="C83" s="10" t="s">
        <v>616</v>
      </c>
      <c r="D83" s="15" t="s">
        <v>34</v>
      </c>
      <c r="E83" s="10" t="s">
        <v>60</v>
      </c>
      <c r="F83" s="10" t="s">
        <v>617</v>
      </c>
      <c r="G83" s="10" t="s">
        <v>618</v>
      </c>
      <c r="H83" s="10" t="s">
        <v>619</v>
      </c>
      <c r="I83" s="10" t="s">
        <v>620</v>
      </c>
      <c r="J83" s="10" t="s">
        <v>31</v>
      </c>
      <c r="K83" s="17" t="s">
        <v>41</v>
      </c>
      <c r="L83" s="10" t="s">
        <v>323</v>
      </c>
      <c r="M83" s="10" t="s">
        <v>621</v>
      </c>
    </row>
    <row r="84" customFormat="false" ht="60" hidden="false" customHeight="true" outlineLevel="0" collapsed="false">
      <c r="A84" s="11" t="s">
        <v>622</v>
      </c>
      <c r="B84" s="10" t="s">
        <v>615</v>
      </c>
      <c r="C84" s="10" t="s">
        <v>623</v>
      </c>
      <c r="D84" s="15" t="s">
        <v>34</v>
      </c>
      <c r="E84" s="10" t="s">
        <v>60</v>
      </c>
      <c r="F84" s="10" t="s">
        <v>624</v>
      </c>
      <c r="G84" s="10" t="s">
        <v>625</v>
      </c>
      <c r="H84" s="10" t="s">
        <v>626</v>
      </c>
      <c r="I84" s="10" t="s">
        <v>627</v>
      </c>
      <c r="J84" s="10" t="s">
        <v>31</v>
      </c>
      <c r="K84" s="17" t="s">
        <v>41</v>
      </c>
      <c r="L84" s="10" t="s">
        <v>323</v>
      </c>
      <c r="M84" s="10" t="s">
        <v>628</v>
      </c>
    </row>
    <row r="85" customFormat="false" ht="60" hidden="false" customHeight="true" outlineLevel="0" collapsed="false">
      <c r="A85" s="11" t="s">
        <v>629</v>
      </c>
      <c r="B85" s="10" t="s">
        <v>630</v>
      </c>
      <c r="C85" s="10" t="s">
        <v>631</v>
      </c>
      <c r="D85" s="20" t="s">
        <v>35</v>
      </c>
      <c r="E85" s="10" t="s">
        <v>178</v>
      </c>
      <c r="F85" s="10" t="s">
        <v>632</v>
      </c>
      <c r="G85" s="10" t="s">
        <v>633</v>
      </c>
      <c r="H85" s="10" t="s">
        <v>634</v>
      </c>
      <c r="I85" s="10" t="s">
        <v>635</v>
      </c>
      <c r="J85" s="10" t="s">
        <v>31</v>
      </c>
      <c r="K85" s="17" t="s">
        <v>41</v>
      </c>
      <c r="L85" s="10" t="s">
        <v>474</v>
      </c>
      <c r="M85" s="10" t="s">
        <v>636</v>
      </c>
    </row>
    <row r="86" customFormat="false" ht="60" hidden="false" customHeight="true" outlineLevel="0" collapsed="false">
      <c r="A86" s="11" t="s">
        <v>637</v>
      </c>
      <c r="B86" s="10" t="s">
        <v>630</v>
      </c>
      <c r="C86" s="10" t="s">
        <v>638</v>
      </c>
      <c r="D86" s="20" t="s">
        <v>35</v>
      </c>
      <c r="E86" s="10" t="s">
        <v>178</v>
      </c>
      <c r="F86" s="10" t="s">
        <v>639</v>
      </c>
      <c r="G86" s="10" t="s">
        <v>471</v>
      </c>
      <c r="H86" s="10" t="s">
        <v>640</v>
      </c>
      <c r="I86" s="10" t="s">
        <v>641</v>
      </c>
      <c r="J86" s="10" t="s">
        <v>31</v>
      </c>
      <c r="K86" s="19" t="s">
        <v>42</v>
      </c>
      <c r="L86" s="10" t="s">
        <v>474</v>
      </c>
      <c r="M86" s="10" t="s">
        <v>475</v>
      </c>
    </row>
    <row r="87" customFormat="false" ht="60" hidden="false" customHeight="true" outlineLevel="0" collapsed="false">
      <c r="A87" s="11" t="s">
        <v>642</v>
      </c>
      <c r="B87" s="10" t="s">
        <v>630</v>
      </c>
      <c r="C87" s="10" t="s">
        <v>643</v>
      </c>
      <c r="D87" s="20" t="s">
        <v>35</v>
      </c>
      <c r="E87" s="10" t="s">
        <v>178</v>
      </c>
      <c r="F87" s="10" t="s">
        <v>644</v>
      </c>
      <c r="G87" s="10" t="s">
        <v>645</v>
      </c>
      <c r="H87" s="10" t="s">
        <v>646</v>
      </c>
      <c r="I87" s="10" t="s">
        <v>647</v>
      </c>
      <c r="J87" s="10" t="s">
        <v>31</v>
      </c>
      <c r="K87" s="19" t="s">
        <v>42</v>
      </c>
      <c r="L87" s="10" t="s">
        <v>474</v>
      </c>
      <c r="M87" s="10" t="s">
        <v>475</v>
      </c>
    </row>
    <row r="88" customFormat="false" ht="60" hidden="false" customHeight="true" outlineLevel="0" collapsed="false">
      <c r="A88" s="11" t="s">
        <v>648</v>
      </c>
      <c r="B88" s="10" t="s">
        <v>630</v>
      </c>
      <c r="C88" s="10" t="s">
        <v>649</v>
      </c>
      <c r="D88" s="20" t="s">
        <v>35</v>
      </c>
      <c r="E88" s="10" t="s">
        <v>178</v>
      </c>
      <c r="F88" s="10" t="s">
        <v>650</v>
      </c>
      <c r="G88" s="10" t="s">
        <v>651</v>
      </c>
      <c r="H88" s="10" t="s">
        <v>652</v>
      </c>
      <c r="I88" s="10" t="s">
        <v>653</v>
      </c>
      <c r="J88" s="10" t="s">
        <v>31</v>
      </c>
      <c r="K88" s="19" t="s">
        <v>42</v>
      </c>
      <c r="L88" s="10" t="s">
        <v>474</v>
      </c>
      <c r="M88" s="10" t="s">
        <v>475</v>
      </c>
    </row>
    <row r="89" customFormat="false" ht="60" hidden="false" customHeight="true" outlineLevel="0" collapsed="false">
      <c r="A89" s="11" t="s">
        <v>654</v>
      </c>
      <c r="B89" s="10" t="s">
        <v>630</v>
      </c>
      <c r="C89" s="10" t="s">
        <v>655</v>
      </c>
      <c r="D89" s="15" t="s">
        <v>34</v>
      </c>
      <c r="E89" s="10" t="s">
        <v>60</v>
      </c>
      <c r="F89" s="10" t="s">
        <v>656</v>
      </c>
      <c r="G89" s="10" t="s">
        <v>657</v>
      </c>
      <c r="H89" s="10" t="s">
        <v>658</v>
      </c>
      <c r="I89" s="10" t="s">
        <v>659</v>
      </c>
      <c r="J89" s="10" t="s">
        <v>31</v>
      </c>
      <c r="K89" s="19" t="s">
        <v>42</v>
      </c>
      <c r="L89" s="10" t="s">
        <v>474</v>
      </c>
      <c r="M89" s="10" t="s">
        <v>660</v>
      </c>
    </row>
    <row r="90" customFormat="false" ht="60" hidden="false" customHeight="true" outlineLevel="0" collapsed="false">
      <c r="A90" s="11" t="s">
        <v>661</v>
      </c>
      <c r="B90" s="10" t="s">
        <v>630</v>
      </c>
      <c r="C90" s="10" t="s">
        <v>662</v>
      </c>
      <c r="D90" s="20" t="s">
        <v>35</v>
      </c>
      <c r="E90" s="10" t="s">
        <v>178</v>
      </c>
      <c r="F90" s="10" t="s">
        <v>663</v>
      </c>
      <c r="G90" s="10" t="s">
        <v>471</v>
      </c>
      <c r="H90" s="10" t="s">
        <v>664</v>
      </c>
      <c r="I90" s="10" t="s">
        <v>665</v>
      </c>
      <c r="J90" s="10" t="s">
        <v>31</v>
      </c>
      <c r="K90" s="19" t="s">
        <v>42</v>
      </c>
      <c r="L90" s="10" t="s">
        <v>474</v>
      </c>
      <c r="M90" s="10" t="s">
        <v>475</v>
      </c>
    </row>
    <row r="91" customFormat="false" ht="60" hidden="false" customHeight="true" outlineLevel="0" collapsed="false">
      <c r="A91" s="11" t="s">
        <v>666</v>
      </c>
      <c r="B91" s="10" t="s">
        <v>667</v>
      </c>
      <c r="C91" s="10" t="s">
        <v>668</v>
      </c>
      <c r="D91" s="15" t="s">
        <v>34</v>
      </c>
      <c r="E91" s="10" t="s">
        <v>208</v>
      </c>
      <c r="F91" s="10" t="s">
        <v>669</v>
      </c>
      <c r="G91" s="10" t="s">
        <v>670</v>
      </c>
      <c r="H91" s="10" t="s">
        <v>671</v>
      </c>
      <c r="I91" s="10" t="s">
        <v>672</v>
      </c>
      <c r="J91" s="10" t="s">
        <v>31</v>
      </c>
      <c r="K91" s="10" t="s">
        <v>43</v>
      </c>
      <c r="L91" s="10"/>
      <c r="M91" s="10"/>
    </row>
    <row r="92" customFormat="false" ht="60" hidden="false" customHeight="true" outlineLevel="0" collapsed="false">
      <c r="A92" s="11" t="s">
        <v>673</v>
      </c>
      <c r="B92" s="10" t="s">
        <v>674</v>
      </c>
      <c r="C92" s="10" t="s">
        <v>675</v>
      </c>
      <c r="D92" s="15" t="s">
        <v>34</v>
      </c>
      <c r="E92" s="10" t="s">
        <v>178</v>
      </c>
      <c r="F92" s="10" t="s">
        <v>676</v>
      </c>
      <c r="G92" s="10" t="s">
        <v>677</v>
      </c>
      <c r="H92" s="10" t="s">
        <v>678</v>
      </c>
      <c r="I92" s="10" t="s">
        <v>679</v>
      </c>
      <c r="J92" s="10" t="s">
        <v>31</v>
      </c>
      <c r="K92" s="19" t="s">
        <v>42</v>
      </c>
      <c r="L92" s="10" t="s">
        <v>105</v>
      </c>
      <c r="M92" s="10" t="s">
        <v>680</v>
      </c>
    </row>
    <row r="93" customFormat="false" ht="60" hidden="false" customHeight="true" outlineLevel="0" collapsed="false">
      <c r="A93" s="11" t="s">
        <v>681</v>
      </c>
      <c r="B93" s="10" t="s">
        <v>674</v>
      </c>
      <c r="C93" s="10" t="s">
        <v>682</v>
      </c>
      <c r="D93" s="20" t="s">
        <v>35</v>
      </c>
      <c r="E93" s="10" t="s">
        <v>178</v>
      </c>
      <c r="F93" s="10" t="s">
        <v>683</v>
      </c>
      <c r="G93" s="10" t="s">
        <v>684</v>
      </c>
      <c r="H93" s="10" t="s">
        <v>685</v>
      </c>
      <c r="I93" s="10" t="s">
        <v>686</v>
      </c>
      <c r="J93" s="10" t="s">
        <v>31</v>
      </c>
      <c r="K93" s="19" t="s">
        <v>42</v>
      </c>
      <c r="L93" s="10" t="s">
        <v>105</v>
      </c>
      <c r="M93" s="10" t="s">
        <v>687</v>
      </c>
    </row>
    <row r="94" customFormat="false" ht="60" hidden="false" customHeight="true" outlineLevel="0" collapsed="false">
      <c r="A94" s="11" t="s">
        <v>688</v>
      </c>
      <c r="B94" s="10" t="s">
        <v>674</v>
      </c>
      <c r="C94" s="10" t="s">
        <v>689</v>
      </c>
      <c r="D94" s="15" t="s">
        <v>34</v>
      </c>
      <c r="E94" s="10" t="s">
        <v>178</v>
      </c>
      <c r="F94" s="10" t="s">
        <v>690</v>
      </c>
      <c r="G94" s="10" t="s">
        <v>691</v>
      </c>
      <c r="H94" s="10" t="s">
        <v>692</v>
      </c>
      <c r="I94" s="10" t="s">
        <v>693</v>
      </c>
      <c r="J94" s="10" t="s">
        <v>31</v>
      </c>
      <c r="K94" s="19" t="s">
        <v>42</v>
      </c>
      <c r="L94" s="10" t="s">
        <v>105</v>
      </c>
      <c r="M94" s="10" t="s">
        <v>694</v>
      </c>
    </row>
    <row r="95" customFormat="false" ht="60" hidden="false" customHeight="true" outlineLevel="0" collapsed="false">
      <c r="A95" s="11" t="s">
        <v>695</v>
      </c>
      <c r="B95" s="10" t="s">
        <v>674</v>
      </c>
      <c r="C95" s="10" t="s">
        <v>696</v>
      </c>
      <c r="D95" s="15" t="s">
        <v>34</v>
      </c>
      <c r="E95" s="10" t="s">
        <v>178</v>
      </c>
      <c r="F95" s="10" t="s">
        <v>697</v>
      </c>
      <c r="G95" s="10" t="s">
        <v>698</v>
      </c>
      <c r="H95" s="10" t="s">
        <v>699</v>
      </c>
      <c r="I95" s="10" t="s">
        <v>700</v>
      </c>
      <c r="J95" s="10" t="s">
        <v>31</v>
      </c>
      <c r="K95" s="19" t="s">
        <v>42</v>
      </c>
      <c r="L95" s="10" t="s">
        <v>105</v>
      </c>
      <c r="M95" s="10" t="s">
        <v>701</v>
      </c>
    </row>
    <row r="96" customFormat="false" ht="60" hidden="false" customHeight="true" outlineLevel="0" collapsed="false">
      <c r="A96" s="11" t="s">
        <v>702</v>
      </c>
      <c r="B96" s="10" t="s">
        <v>674</v>
      </c>
      <c r="C96" s="10" t="s">
        <v>703</v>
      </c>
      <c r="D96" s="15" t="s">
        <v>34</v>
      </c>
      <c r="E96" s="10" t="s">
        <v>60</v>
      </c>
      <c r="F96" s="10" t="s">
        <v>704</v>
      </c>
      <c r="G96" s="10" t="s">
        <v>705</v>
      </c>
      <c r="H96" s="10" t="s">
        <v>706</v>
      </c>
      <c r="I96" s="10" t="s">
        <v>707</v>
      </c>
      <c r="J96" s="10" t="s">
        <v>31</v>
      </c>
      <c r="K96" s="19" t="s">
        <v>42</v>
      </c>
      <c r="L96" s="10" t="s">
        <v>105</v>
      </c>
      <c r="M96" s="10" t="s">
        <v>708</v>
      </c>
    </row>
    <row r="97" customFormat="false" ht="60" hidden="false" customHeight="true" outlineLevel="0" collapsed="false">
      <c r="A97" s="11" t="s">
        <v>709</v>
      </c>
      <c r="B97" s="10" t="s">
        <v>710</v>
      </c>
      <c r="C97" s="10" t="s">
        <v>711</v>
      </c>
      <c r="D97" s="15" t="s">
        <v>34</v>
      </c>
      <c r="E97" s="10" t="s">
        <v>178</v>
      </c>
      <c r="F97" s="10" t="s">
        <v>712</v>
      </c>
      <c r="G97" s="10" t="s">
        <v>713</v>
      </c>
      <c r="H97" s="10" t="s">
        <v>714</v>
      </c>
      <c r="I97" s="10" t="s">
        <v>715</v>
      </c>
      <c r="J97" s="10" t="s">
        <v>31</v>
      </c>
      <c r="K97" s="16" t="s">
        <v>40</v>
      </c>
      <c r="L97" s="10"/>
      <c r="M97" s="10" t="s">
        <v>716</v>
      </c>
    </row>
    <row r="98" customFormat="false" ht="60" hidden="false" customHeight="true" outlineLevel="0" collapsed="false">
      <c r="A98" s="11" t="s">
        <v>717</v>
      </c>
      <c r="B98" s="10" t="s">
        <v>710</v>
      </c>
      <c r="C98" s="10" t="s">
        <v>718</v>
      </c>
      <c r="D98" s="20" t="s">
        <v>35</v>
      </c>
      <c r="E98" s="10" t="s">
        <v>178</v>
      </c>
      <c r="F98" s="10" t="s">
        <v>719</v>
      </c>
      <c r="G98" s="10" t="s">
        <v>720</v>
      </c>
      <c r="H98" s="10" t="s">
        <v>721</v>
      </c>
      <c r="I98" s="10" t="s">
        <v>722</v>
      </c>
      <c r="J98" s="10" t="s">
        <v>31</v>
      </c>
      <c r="K98" s="16" t="s">
        <v>40</v>
      </c>
      <c r="L98" s="10"/>
      <c r="M98" s="10" t="s">
        <v>723</v>
      </c>
    </row>
    <row r="99" customFormat="false" ht="60" hidden="false" customHeight="true" outlineLevel="0" collapsed="false">
      <c r="A99" s="11" t="s">
        <v>724</v>
      </c>
      <c r="B99" s="10" t="s">
        <v>710</v>
      </c>
      <c r="C99" s="10" t="s">
        <v>725</v>
      </c>
      <c r="D99" s="15" t="s">
        <v>34</v>
      </c>
      <c r="E99" s="10" t="s">
        <v>178</v>
      </c>
      <c r="F99" s="10" t="s">
        <v>726</v>
      </c>
      <c r="G99" s="10" t="s">
        <v>727</v>
      </c>
      <c r="H99" s="10" t="s">
        <v>728</v>
      </c>
      <c r="I99" s="10" t="s">
        <v>729</v>
      </c>
      <c r="J99" s="10" t="s">
        <v>31</v>
      </c>
      <c r="K99" s="17" t="s">
        <v>41</v>
      </c>
      <c r="L99" s="10" t="s">
        <v>730</v>
      </c>
      <c r="M99" s="10" t="s">
        <v>731</v>
      </c>
    </row>
    <row r="100" customFormat="false" ht="60" hidden="false" customHeight="true" outlineLevel="0" collapsed="false">
      <c r="A100" s="11" t="s">
        <v>732</v>
      </c>
      <c r="B100" s="10" t="s">
        <v>710</v>
      </c>
      <c r="C100" s="10" t="s">
        <v>733</v>
      </c>
      <c r="D100" s="15" t="s">
        <v>34</v>
      </c>
      <c r="E100" s="10" t="s">
        <v>178</v>
      </c>
      <c r="F100" s="10" t="s">
        <v>734</v>
      </c>
      <c r="G100" s="10" t="s">
        <v>735</v>
      </c>
      <c r="H100" s="10" t="s">
        <v>736</v>
      </c>
      <c r="I100" s="10" t="s">
        <v>737</v>
      </c>
      <c r="J100" s="10" t="s">
        <v>31</v>
      </c>
      <c r="K100" s="16" t="s">
        <v>40</v>
      </c>
      <c r="L100" s="10"/>
      <c r="M100" s="10" t="s">
        <v>738</v>
      </c>
    </row>
    <row r="101" customFormat="false" ht="60" hidden="false" customHeight="true" outlineLevel="0" collapsed="false">
      <c r="A101" s="11" t="s">
        <v>739</v>
      </c>
      <c r="B101" s="10" t="s">
        <v>710</v>
      </c>
      <c r="C101" s="10" t="s">
        <v>740</v>
      </c>
      <c r="D101" s="15" t="s">
        <v>34</v>
      </c>
      <c r="E101" s="10" t="s">
        <v>178</v>
      </c>
      <c r="F101" s="10" t="s">
        <v>741</v>
      </c>
      <c r="G101" s="10" t="s">
        <v>742</v>
      </c>
      <c r="H101" s="10" t="s">
        <v>743</v>
      </c>
      <c r="I101" s="10" t="s">
        <v>744</v>
      </c>
      <c r="J101" s="10" t="s">
        <v>31</v>
      </c>
      <c r="K101" s="10" t="s">
        <v>43</v>
      </c>
      <c r="L101" s="10"/>
      <c r="M101" s="10"/>
    </row>
    <row r="102" customFormat="false" ht="60" hidden="false" customHeight="true" outlineLevel="0" collapsed="false">
      <c r="A102" s="11" t="s">
        <v>745</v>
      </c>
      <c r="B102" s="10" t="s">
        <v>710</v>
      </c>
      <c r="C102" s="10" t="s">
        <v>746</v>
      </c>
      <c r="D102" s="15" t="s">
        <v>34</v>
      </c>
      <c r="E102" s="10" t="s">
        <v>178</v>
      </c>
      <c r="F102" s="10" t="s">
        <v>747</v>
      </c>
      <c r="G102" s="10" t="s">
        <v>748</v>
      </c>
      <c r="H102" s="10" t="s">
        <v>749</v>
      </c>
      <c r="I102" s="10" t="s">
        <v>750</v>
      </c>
      <c r="J102" s="10" t="s">
        <v>31</v>
      </c>
      <c r="K102" s="16" t="s">
        <v>40</v>
      </c>
      <c r="L102" s="10"/>
      <c r="M102" s="10" t="s">
        <v>751</v>
      </c>
    </row>
    <row r="103" customFormat="false" ht="60" hidden="false" customHeight="true" outlineLevel="0" collapsed="false">
      <c r="A103" s="11" t="s">
        <v>752</v>
      </c>
      <c r="B103" s="10" t="s">
        <v>710</v>
      </c>
      <c r="C103" s="10" t="s">
        <v>753</v>
      </c>
      <c r="D103" s="15" t="s">
        <v>34</v>
      </c>
      <c r="E103" s="10" t="s">
        <v>178</v>
      </c>
      <c r="F103" s="10" t="s">
        <v>754</v>
      </c>
      <c r="G103" s="10" t="s">
        <v>755</v>
      </c>
      <c r="H103" s="10" t="s">
        <v>756</v>
      </c>
      <c r="I103" s="10" t="s">
        <v>757</v>
      </c>
      <c r="J103" s="10" t="s">
        <v>31</v>
      </c>
      <c r="K103" s="19" t="s">
        <v>42</v>
      </c>
      <c r="L103" s="10" t="s">
        <v>105</v>
      </c>
      <c r="M103" s="10" t="s">
        <v>758</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6"/>
    <col collapsed="false" customWidth="true" hidden="false" outlineLevel="0" max="4" min="4" style="0" width="9"/>
    <col collapsed="false" customWidth="true" hidden="false" outlineLevel="0" max="5" min="5" style="0" width="7"/>
    <col collapsed="false" customWidth="true" hidden="false" outlineLevel="0" max="7" min="6" style="0" width="30"/>
    <col collapsed="false" customWidth="true" hidden="false" outlineLevel="0" max="8" min="8" style="0" width="46"/>
    <col collapsed="false" customWidth="true" hidden="false" outlineLevel="0" max="9" min="9" style="0" width="42"/>
    <col collapsed="false" customWidth="true" hidden="false" outlineLevel="0" max="10" min="10" style="0" width="14"/>
    <col collapsed="false" customWidth="true" hidden="false" outlineLevel="0" max="11" min="11" style="0" width="10"/>
    <col collapsed="false" customWidth="true" hidden="false" outlineLevel="0" max="12" min="12" style="0" width="14"/>
    <col collapsed="false" customWidth="true" hidden="false" outlineLevel="0" max="13" min="13" style="0" width="46"/>
  </cols>
  <sheetData>
    <row r="1" customFormat="false" ht="19.7" hidden="false" customHeight="false" outlineLevel="0" collapsed="false">
      <c r="A1" s="8" t="s">
        <v>759</v>
      </c>
      <c r="B1" s="8"/>
      <c r="C1" s="8"/>
      <c r="D1" s="8"/>
      <c r="E1" s="8"/>
      <c r="F1" s="8"/>
      <c r="G1" s="8"/>
      <c r="H1" s="8"/>
      <c r="I1" s="8"/>
      <c r="J1" s="8"/>
      <c r="K1" s="8"/>
    </row>
    <row r="2" customFormat="false" ht="15" hidden="false" customHeight="false" outlineLevel="0" collapsed="false">
      <c r="A2" s="2" t="s">
        <v>45</v>
      </c>
      <c r="B2" s="2"/>
      <c r="C2" s="2"/>
      <c r="D2" s="2"/>
      <c r="E2" s="2"/>
      <c r="F2" s="2"/>
      <c r="G2" s="2"/>
      <c r="H2" s="2"/>
      <c r="I2" s="2"/>
      <c r="J2" s="2"/>
      <c r="K2" s="2"/>
    </row>
    <row r="4" customFormat="false" ht="15" hidden="false" customHeight="false" outlineLevel="0" collapsed="false">
      <c r="A4" s="9" t="s">
        <v>46</v>
      </c>
      <c r="B4" s="9" t="s">
        <v>47</v>
      </c>
      <c r="C4" s="9" t="s">
        <v>48</v>
      </c>
      <c r="D4" s="9" t="s">
        <v>30</v>
      </c>
      <c r="E4" s="9" t="s">
        <v>49</v>
      </c>
      <c r="F4" s="9" t="s">
        <v>50</v>
      </c>
      <c r="G4" s="9" t="s">
        <v>51</v>
      </c>
      <c r="H4" s="9" t="s">
        <v>52</v>
      </c>
      <c r="I4" s="9" t="s">
        <v>53</v>
      </c>
      <c r="J4" s="9" t="s">
        <v>54</v>
      </c>
      <c r="K4" s="9" t="s">
        <v>38</v>
      </c>
      <c r="L4" s="9" t="s">
        <v>55</v>
      </c>
      <c r="M4" s="9" t="s">
        <v>56</v>
      </c>
    </row>
    <row r="5" customFormat="false" ht="60" hidden="false" customHeight="true" outlineLevel="0" collapsed="false">
      <c r="A5" s="11" t="s">
        <v>760</v>
      </c>
      <c r="B5" s="10" t="s">
        <v>761</v>
      </c>
      <c r="C5" s="10" t="s">
        <v>762</v>
      </c>
      <c r="D5" s="15" t="s">
        <v>34</v>
      </c>
      <c r="E5" s="10" t="s">
        <v>60</v>
      </c>
      <c r="F5" s="10" t="s">
        <v>763</v>
      </c>
      <c r="G5" s="10" t="s">
        <v>764</v>
      </c>
      <c r="H5" s="10" t="s">
        <v>765</v>
      </c>
      <c r="I5" s="10" t="s">
        <v>766</v>
      </c>
      <c r="J5" s="10" t="s">
        <v>767</v>
      </c>
      <c r="K5" s="10" t="s">
        <v>43</v>
      </c>
      <c r="L5" s="10"/>
      <c r="M5" s="10"/>
    </row>
    <row r="6" customFormat="false" ht="60" hidden="false" customHeight="true" outlineLevel="0" collapsed="false">
      <c r="A6" s="11" t="s">
        <v>768</v>
      </c>
      <c r="B6" s="10" t="s">
        <v>761</v>
      </c>
      <c r="C6" s="10" t="s">
        <v>769</v>
      </c>
      <c r="D6" s="15" t="s">
        <v>34</v>
      </c>
      <c r="E6" s="10" t="s">
        <v>60</v>
      </c>
      <c r="F6" s="10" t="s">
        <v>770</v>
      </c>
      <c r="G6" s="10" t="s">
        <v>771</v>
      </c>
      <c r="H6" s="10" t="s">
        <v>772</v>
      </c>
      <c r="I6" s="10" t="s">
        <v>773</v>
      </c>
      <c r="J6" s="10" t="s">
        <v>774</v>
      </c>
      <c r="K6" s="10" t="s">
        <v>43</v>
      </c>
      <c r="L6" s="10"/>
      <c r="M6" s="10"/>
    </row>
    <row r="7" customFormat="false" ht="60" hidden="false" customHeight="true" outlineLevel="0" collapsed="false">
      <c r="A7" s="11" t="s">
        <v>775</v>
      </c>
      <c r="B7" s="10" t="s">
        <v>761</v>
      </c>
      <c r="C7" s="10" t="s">
        <v>776</v>
      </c>
      <c r="D7" s="15" t="s">
        <v>34</v>
      </c>
      <c r="E7" s="10" t="s">
        <v>60</v>
      </c>
      <c r="F7" s="10" t="s">
        <v>777</v>
      </c>
      <c r="G7" s="10" t="s">
        <v>778</v>
      </c>
      <c r="H7" s="10" t="s">
        <v>779</v>
      </c>
      <c r="I7" s="10" t="s">
        <v>780</v>
      </c>
      <c r="J7" s="10" t="s">
        <v>774</v>
      </c>
      <c r="K7" s="10" t="s">
        <v>43</v>
      </c>
      <c r="L7" s="10"/>
      <c r="M7" s="10"/>
    </row>
    <row r="8" customFormat="false" ht="60" hidden="false" customHeight="true" outlineLevel="0" collapsed="false">
      <c r="A8" s="11" t="s">
        <v>781</v>
      </c>
      <c r="B8" s="10" t="s">
        <v>761</v>
      </c>
      <c r="C8" s="10" t="s">
        <v>782</v>
      </c>
      <c r="D8" s="15" t="s">
        <v>34</v>
      </c>
      <c r="E8" s="10" t="s">
        <v>60</v>
      </c>
      <c r="F8" s="10" t="s">
        <v>783</v>
      </c>
      <c r="G8" s="10" t="s">
        <v>784</v>
      </c>
      <c r="H8" s="10" t="s">
        <v>785</v>
      </c>
      <c r="I8" s="10" t="s">
        <v>786</v>
      </c>
      <c r="J8" s="10" t="s">
        <v>615</v>
      </c>
      <c r="K8" s="17" t="s">
        <v>41</v>
      </c>
      <c r="L8" s="10" t="s">
        <v>323</v>
      </c>
      <c r="M8" s="10" t="s">
        <v>787</v>
      </c>
    </row>
    <row r="9" customFormat="false" ht="60" hidden="false" customHeight="true" outlineLevel="0" collapsed="false">
      <c r="A9" s="11" t="s">
        <v>788</v>
      </c>
      <c r="B9" s="10" t="s">
        <v>761</v>
      </c>
      <c r="C9" s="10" t="s">
        <v>789</v>
      </c>
      <c r="D9" s="15" t="s">
        <v>34</v>
      </c>
      <c r="E9" s="10" t="s">
        <v>60</v>
      </c>
      <c r="F9" s="10" t="s">
        <v>790</v>
      </c>
      <c r="G9" s="10" t="s">
        <v>791</v>
      </c>
      <c r="H9" s="10" t="s">
        <v>792</v>
      </c>
      <c r="I9" s="10" t="s">
        <v>793</v>
      </c>
      <c r="J9" s="10" t="s">
        <v>794</v>
      </c>
      <c r="K9" s="10" t="s">
        <v>43</v>
      </c>
      <c r="L9" s="10"/>
      <c r="M9" s="10"/>
    </row>
    <row r="10" customFormat="false" ht="60" hidden="false" customHeight="true" outlineLevel="0" collapsed="false">
      <c r="A10" s="11" t="s">
        <v>795</v>
      </c>
      <c r="B10" s="10" t="s">
        <v>761</v>
      </c>
      <c r="C10" s="10" t="s">
        <v>796</v>
      </c>
      <c r="D10" s="15" t="s">
        <v>34</v>
      </c>
      <c r="E10" s="10" t="s">
        <v>60</v>
      </c>
      <c r="F10" s="10" t="s">
        <v>797</v>
      </c>
      <c r="G10" s="10" t="s">
        <v>798</v>
      </c>
      <c r="H10" s="10" t="s">
        <v>799</v>
      </c>
      <c r="I10" s="10" t="s">
        <v>800</v>
      </c>
      <c r="J10" s="10" t="s">
        <v>801</v>
      </c>
      <c r="K10" s="10" t="s">
        <v>43</v>
      </c>
      <c r="L10" s="10"/>
      <c r="M10" s="10"/>
    </row>
    <row r="11" customFormat="false" ht="60" hidden="false" customHeight="true" outlineLevel="0" collapsed="false">
      <c r="A11" s="11" t="s">
        <v>802</v>
      </c>
      <c r="B11" s="10" t="s">
        <v>761</v>
      </c>
      <c r="C11" s="10" t="s">
        <v>803</v>
      </c>
      <c r="D11" s="15" t="s">
        <v>34</v>
      </c>
      <c r="E11" s="10" t="s">
        <v>60</v>
      </c>
      <c r="F11" s="10" t="s">
        <v>804</v>
      </c>
      <c r="G11" s="10" t="s">
        <v>805</v>
      </c>
      <c r="H11" s="10" t="s">
        <v>806</v>
      </c>
      <c r="I11" s="10" t="s">
        <v>807</v>
      </c>
      <c r="J11" s="10" t="s">
        <v>767</v>
      </c>
      <c r="K11" s="10" t="s">
        <v>43</v>
      </c>
      <c r="L11" s="10"/>
      <c r="M11" s="10"/>
    </row>
    <row r="12" customFormat="false" ht="60" hidden="false" customHeight="true" outlineLevel="0" collapsed="false">
      <c r="A12" s="11" t="s">
        <v>808</v>
      </c>
      <c r="B12" s="10" t="s">
        <v>761</v>
      </c>
      <c r="C12" s="10" t="s">
        <v>809</v>
      </c>
      <c r="D12" s="15" t="s">
        <v>34</v>
      </c>
      <c r="E12" s="10" t="s">
        <v>60</v>
      </c>
      <c r="F12" s="10" t="s">
        <v>810</v>
      </c>
      <c r="G12" s="10" t="s">
        <v>811</v>
      </c>
      <c r="H12" s="10" t="s">
        <v>812</v>
      </c>
      <c r="I12" s="10" t="s">
        <v>813</v>
      </c>
      <c r="J12" s="10" t="s">
        <v>801</v>
      </c>
      <c r="K12" s="10" t="s">
        <v>43</v>
      </c>
      <c r="L12" s="10"/>
      <c r="M12" s="10"/>
    </row>
    <row r="13" customFormat="false" ht="60" hidden="false" customHeight="true" outlineLevel="0" collapsed="false">
      <c r="A13" s="11" t="s">
        <v>814</v>
      </c>
      <c r="B13" s="10" t="s">
        <v>761</v>
      </c>
      <c r="C13" s="10" t="s">
        <v>815</v>
      </c>
      <c r="D13" s="15" t="s">
        <v>34</v>
      </c>
      <c r="E13" s="10" t="s">
        <v>60</v>
      </c>
      <c r="F13" s="10" t="s">
        <v>816</v>
      </c>
      <c r="G13" s="10" t="s">
        <v>817</v>
      </c>
      <c r="H13" s="10" t="s">
        <v>818</v>
      </c>
      <c r="I13" s="10" t="s">
        <v>819</v>
      </c>
      <c r="J13" s="10" t="s">
        <v>820</v>
      </c>
      <c r="K13" s="10" t="s">
        <v>43</v>
      </c>
      <c r="L13" s="10"/>
      <c r="M13" s="10"/>
    </row>
    <row r="14" customFormat="false" ht="60" hidden="false" customHeight="true" outlineLevel="0" collapsed="false">
      <c r="A14" s="11" t="s">
        <v>821</v>
      </c>
      <c r="B14" s="10" t="s">
        <v>761</v>
      </c>
      <c r="C14" s="10" t="s">
        <v>822</v>
      </c>
      <c r="D14" s="15" t="s">
        <v>34</v>
      </c>
      <c r="E14" s="10" t="s">
        <v>178</v>
      </c>
      <c r="F14" s="10" t="s">
        <v>823</v>
      </c>
      <c r="G14" s="10" t="s">
        <v>824</v>
      </c>
      <c r="H14" s="10" t="s">
        <v>825</v>
      </c>
      <c r="I14" s="10" t="s">
        <v>826</v>
      </c>
      <c r="J14" s="10" t="s">
        <v>794</v>
      </c>
      <c r="K14" s="10" t="s">
        <v>43</v>
      </c>
      <c r="L14" s="10"/>
      <c r="M14" s="10"/>
    </row>
    <row r="15" customFormat="false" ht="60" hidden="false" customHeight="true" outlineLevel="0" collapsed="false">
      <c r="A15" s="11" t="s">
        <v>827</v>
      </c>
      <c r="B15" s="10" t="s">
        <v>761</v>
      </c>
      <c r="C15" s="10" t="s">
        <v>828</v>
      </c>
      <c r="D15" s="15" t="s">
        <v>34</v>
      </c>
      <c r="E15" s="10" t="s">
        <v>178</v>
      </c>
      <c r="F15" s="10" t="s">
        <v>829</v>
      </c>
      <c r="G15" s="10" t="s">
        <v>830</v>
      </c>
      <c r="H15" s="10" t="s">
        <v>831</v>
      </c>
      <c r="I15" s="10" t="s">
        <v>832</v>
      </c>
      <c r="J15" s="10" t="s">
        <v>767</v>
      </c>
      <c r="K15" s="10" t="s">
        <v>43</v>
      </c>
      <c r="L15" s="10"/>
      <c r="M15" s="10"/>
    </row>
    <row r="16" customFormat="false" ht="60" hidden="false" customHeight="true" outlineLevel="0" collapsed="false">
      <c r="A16" s="11" t="s">
        <v>833</v>
      </c>
      <c r="B16" s="10" t="s">
        <v>761</v>
      </c>
      <c r="C16" s="10" t="s">
        <v>834</v>
      </c>
      <c r="D16" s="15" t="s">
        <v>34</v>
      </c>
      <c r="E16" s="10" t="s">
        <v>60</v>
      </c>
      <c r="F16" s="10" t="s">
        <v>835</v>
      </c>
      <c r="G16" s="10" t="s">
        <v>836</v>
      </c>
      <c r="H16" s="10" t="s">
        <v>837</v>
      </c>
      <c r="I16" s="10" t="s">
        <v>838</v>
      </c>
      <c r="J16" s="10" t="s">
        <v>801</v>
      </c>
      <c r="K16" s="10" t="s">
        <v>43</v>
      </c>
      <c r="L16" s="10"/>
      <c r="M16" s="10"/>
    </row>
    <row r="17" customFormat="false" ht="60" hidden="false" customHeight="true" outlineLevel="0" collapsed="false">
      <c r="A17" s="11" t="s">
        <v>839</v>
      </c>
      <c r="B17" s="10" t="s">
        <v>761</v>
      </c>
      <c r="C17" s="10" t="s">
        <v>840</v>
      </c>
      <c r="D17" s="15" t="s">
        <v>34</v>
      </c>
      <c r="E17" s="10" t="s">
        <v>178</v>
      </c>
      <c r="F17" s="10" t="s">
        <v>841</v>
      </c>
      <c r="G17" s="10" t="s">
        <v>842</v>
      </c>
      <c r="H17" s="10" t="s">
        <v>843</v>
      </c>
      <c r="I17" s="10" t="s">
        <v>844</v>
      </c>
      <c r="J17" s="10" t="s">
        <v>845</v>
      </c>
      <c r="K17" s="10" t="s">
        <v>43</v>
      </c>
      <c r="L17" s="10"/>
      <c r="M17" s="10"/>
    </row>
    <row r="18" customFormat="false" ht="60" hidden="false" customHeight="true" outlineLevel="0" collapsed="false">
      <c r="A18" s="11" t="s">
        <v>846</v>
      </c>
      <c r="B18" s="10" t="s">
        <v>761</v>
      </c>
      <c r="C18" s="10" t="s">
        <v>847</v>
      </c>
      <c r="D18" s="15" t="s">
        <v>34</v>
      </c>
      <c r="E18" s="10" t="s">
        <v>60</v>
      </c>
      <c r="F18" s="10" t="s">
        <v>848</v>
      </c>
      <c r="G18" s="10" t="s">
        <v>849</v>
      </c>
      <c r="H18" s="10" t="s">
        <v>850</v>
      </c>
      <c r="I18" s="10" t="s">
        <v>851</v>
      </c>
      <c r="J18" s="10" t="s">
        <v>852</v>
      </c>
      <c r="K18" s="10" t="s">
        <v>43</v>
      </c>
      <c r="L18" s="10"/>
      <c r="M18" s="10"/>
    </row>
    <row r="19" customFormat="false" ht="60" hidden="false" customHeight="true" outlineLevel="0" collapsed="false">
      <c r="A19" s="11" t="s">
        <v>853</v>
      </c>
      <c r="B19" s="10" t="s">
        <v>761</v>
      </c>
      <c r="C19" s="10" t="s">
        <v>854</v>
      </c>
      <c r="D19" s="15" t="s">
        <v>34</v>
      </c>
      <c r="E19" s="10" t="s">
        <v>178</v>
      </c>
      <c r="F19" s="10" t="s">
        <v>855</v>
      </c>
      <c r="G19" s="10" t="s">
        <v>856</v>
      </c>
      <c r="H19" s="10" t="s">
        <v>857</v>
      </c>
      <c r="I19" s="10" t="s">
        <v>858</v>
      </c>
      <c r="J19" s="10" t="s">
        <v>794</v>
      </c>
      <c r="K19" s="10" t="s">
        <v>43</v>
      </c>
      <c r="L19" s="10"/>
      <c r="M19" s="10"/>
    </row>
    <row r="20" customFormat="false" ht="60" hidden="false" customHeight="true" outlineLevel="0" collapsed="false">
      <c r="A20" s="11" t="s">
        <v>859</v>
      </c>
      <c r="B20" s="10" t="s">
        <v>761</v>
      </c>
      <c r="C20" s="10" t="s">
        <v>860</v>
      </c>
      <c r="D20" s="20" t="s">
        <v>35</v>
      </c>
      <c r="E20" s="10" t="s">
        <v>178</v>
      </c>
      <c r="F20" s="10" t="s">
        <v>861</v>
      </c>
      <c r="G20" s="10" t="s">
        <v>862</v>
      </c>
      <c r="H20" s="10" t="s">
        <v>863</v>
      </c>
      <c r="I20" s="10" t="s">
        <v>864</v>
      </c>
      <c r="J20" s="10" t="s">
        <v>865</v>
      </c>
      <c r="K20" s="10" t="s">
        <v>43</v>
      </c>
      <c r="L20" s="10"/>
      <c r="M20" s="10"/>
    </row>
    <row r="21" customFormat="false" ht="60" hidden="false" customHeight="true" outlineLevel="0" collapsed="false">
      <c r="A21" s="11" t="s">
        <v>866</v>
      </c>
      <c r="B21" s="10" t="s">
        <v>761</v>
      </c>
      <c r="C21" s="10" t="s">
        <v>867</v>
      </c>
      <c r="D21" s="15" t="s">
        <v>34</v>
      </c>
      <c r="E21" s="10" t="s">
        <v>60</v>
      </c>
      <c r="F21" s="10" t="s">
        <v>868</v>
      </c>
      <c r="G21" s="10" t="s">
        <v>869</v>
      </c>
      <c r="H21" s="10" t="s">
        <v>870</v>
      </c>
      <c r="I21" s="10" t="s">
        <v>871</v>
      </c>
      <c r="J21" s="10" t="s">
        <v>872</v>
      </c>
      <c r="K21" s="16" t="s">
        <v>40</v>
      </c>
      <c r="L21" s="10"/>
      <c r="M21" s="10" t="s">
        <v>873</v>
      </c>
    </row>
    <row r="22" customFormat="false" ht="60" hidden="false" customHeight="true" outlineLevel="0" collapsed="false">
      <c r="A22" s="11" t="s">
        <v>874</v>
      </c>
      <c r="B22" s="10" t="s">
        <v>761</v>
      </c>
      <c r="C22" s="10" t="s">
        <v>875</v>
      </c>
      <c r="D22" s="15" t="s">
        <v>34</v>
      </c>
      <c r="E22" s="10" t="s">
        <v>178</v>
      </c>
      <c r="F22" s="10" t="s">
        <v>876</v>
      </c>
      <c r="G22" s="10" t="s">
        <v>877</v>
      </c>
      <c r="H22" s="10" t="s">
        <v>878</v>
      </c>
      <c r="I22" s="10" t="s">
        <v>879</v>
      </c>
      <c r="J22" s="10" t="s">
        <v>794</v>
      </c>
      <c r="K22" s="10" t="s">
        <v>43</v>
      </c>
      <c r="L22" s="10"/>
      <c r="M22" s="10"/>
    </row>
    <row r="23" customFormat="false" ht="60" hidden="false" customHeight="true" outlineLevel="0" collapsed="false">
      <c r="A23" s="11" t="s">
        <v>880</v>
      </c>
      <c r="B23" s="10" t="s">
        <v>761</v>
      </c>
      <c r="C23" s="10" t="s">
        <v>881</v>
      </c>
      <c r="D23" s="15" t="s">
        <v>34</v>
      </c>
      <c r="E23" s="10" t="s">
        <v>60</v>
      </c>
      <c r="F23" s="10" t="s">
        <v>882</v>
      </c>
      <c r="G23" s="10" t="s">
        <v>883</v>
      </c>
      <c r="H23" s="10" t="s">
        <v>884</v>
      </c>
      <c r="I23" s="10" t="s">
        <v>885</v>
      </c>
      <c r="J23" s="10" t="s">
        <v>801</v>
      </c>
      <c r="K23" s="10" t="s">
        <v>43</v>
      </c>
      <c r="L23" s="10"/>
      <c r="M23" s="10"/>
    </row>
    <row r="24" customFormat="false" ht="60" hidden="false" customHeight="true" outlineLevel="0" collapsed="false">
      <c r="A24" s="11" t="s">
        <v>886</v>
      </c>
      <c r="B24" s="10" t="s">
        <v>761</v>
      </c>
      <c r="C24" s="10" t="s">
        <v>887</v>
      </c>
      <c r="D24" s="20" t="s">
        <v>35</v>
      </c>
      <c r="E24" s="10" t="s">
        <v>548</v>
      </c>
      <c r="F24" s="10" t="s">
        <v>888</v>
      </c>
      <c r="G24" s="10" t="s">
        <v>889</v>
      </c>
      <c r="H24" s="10" t="s">
        <v>890</v>
      </c>
      <c r="I24" s="10" t="s">
        <v>891</v>
      </c>
      <c r="J24" s="10" t="s">
        <v>892</v>
      </c>
      <c r="K24" s="10" t="s">
        <v>43</v>
      </c>
      <c r="L24" s="10"/>
      <c r="M24" s="10"/>
    </row>
    <row r="25" customFormat="false" ht="60" hidden="false" customHeight="true" outlineLevel="0" collapsed="false">
      <c r="A25" s="11" t="s">
        <v>893</v>
      </c>
      <c r="B25" s="10" t="s">
        <v>761</v>
      </c>
      <c r="C25" s="10" t="s">
        <v>894</v>
      </c>
      <c r="D25" s="15" t="s">
        <v>34</v>
      </c>
      <c r="E25" s="10" t="s">
        <v>60</v>
      </c>
      <c r="F25" s="10" t="s">
        <v>895</v>
      </c>
      <c r="G25" s="10" t="s">
        <v>896</v>
      </c>
      <c r="H25" s="10" t="s">
        <v>897</v>
      </c>
      <c r="I25" s="10" t="s">
        <v>898</v>
      </c>
      <c r="J25" s="10" t="s">
        <v>899</v>
      </c>
      <c r="K25" s="10" t="s">
        <v>43</v>
      </c>
      <c r="L25" s="10"/>
      <c r="M25" s="10"/>
    </row>
    <row r="26" customFormat="false" ht="60" hidden="false" customHeight="true" outlineLevel="0" collapsed="false">
      <c r="A26" s="11" t="s">
        <v>900</v>
      </c>
      <c r="B26" s="10" t="s">
        <v>761</v>
      </c>
      <c r="C26" s="10" t="s">
        <v>901</v>
      </c>
      <c r="D26" s="15" t="s">
        <v>34</v>
      </c>
      <c r="E26" s="10" t="s">
        <v>178</v>
      </c>
      <c r="F26" s="10" t="s">
        <v>902</v>
      </c>
      <c r="G26" s="10" t="s">
        <v>903</v>
      </c>
      <c r="H26" s="10" t="s">
        <v>904</v>
      </c>
      <c r="I26" s="10" t="s">
        <v>905</v>
      </c>
      <c r="J26" s="10" t="s">
        <v>906</v>
      </c>
      <c r="K26" s="10" t="s">
        <v>43</v>
      </c>
      <c r="L26" s="10"/>
      <c r="M26" s="10"/>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6"/>
    <col collapsed="false" customWidth="true" hidden="false" outlineLevel="0" max="4" min="4" style="0" width="9"/>
    <col collapsed="false" customWidth="true" hidden="false" outlineLevel="0" max="5" min="5" style="0" width="7"/>
    <col collapsed="false" customWidth="true" hidden="false" outlineLevel="0" max="7" min="6" style="0" width="30"/>
    <col collapsed="false" customWidth="true" hidden="false" outlineLevel="0" max="8" min="8" style="0" width="46"/>
    <col collapsed="false" customWidth="true" hidden="false" outlineLevel="0" max="9" min="9" style="0" width="42"/>
    <col collapsed="false" customWidth="true" hidden="false" outlineLevel="0" max="10" min="10" style="0" width="14"/>
    <col collapsed="false" customWidth="true" hidden="false" outlineLevel="0" max="11" min="11" style="0" width="10"/>
    <col collapsed="false" customWidth="true" hidden="false" outlineLevel="0" max="12" min="12" style="0" width="14"/>
    <col collapsed="false" customWidth="true" hidden="false" outlineLevel="0" max="13" min="13" style="0" width="46"/>
  </cols>
  <sheetData>
    <row r="1" customFormat="false" ht="19.7" hidden="false" customHeight="false" outlineLevel="0" collapsed="false">
      <c r="A1" s="8" t="s">
        <v>907</v>
      </c>
      <c r="B1" s="8"/>
      <c r="C1" s="8"/>
      <c r="D1" s="8"/>
      <c r="E1" s="8"/>
      <c r="F1" s="8"/>
      <c r="G1" s="8"/>
      <c r="H1" s="8"/>
      <c r="I1" s="8"/>
      <c r="J1" s="8"/>
      <c r="K1" s="8"/>
    </row>
    <row r="2" customFormat="false" ht="15" hidden="false" customHeight="false" outlineLevel="0" collapsed="false">
      <c r="A2" s="2" t="s">
        <v>45</v>
      </c>
      <c r="B2" s="2"/>
      <c r="C2" s="2"/>
      <c r="D2" s="2"/>
      <c r="E2" s="2"/>
      <c r="F2" s="2"/>
      <c r="G2" s="2"/>
      <c r="H2" s="2"/>
      <c r="I2" s="2"/>
      <c r="J2" s="2"/>
      <c r="K2" s="2"/>
    </row>
    <row r="4" customFormat="false" ht="15" hidden="false" customHeight="false" outlineLevel="0" collapsed="false">
      <c r="A4" s="9" t="s">
        <v>46</v>
      </c>
      <c r="B4" s="9" t="s">
        <v>47</v>
      </c>
      <c r="C4" s="9" t="s">
        <v>48</v>
      </c>
      <c r="D4" s="9" t="s">
        <v>30</v>
      </c>
      <c r="E4" s="9" t="s">
        <v>49</v>
      </c>
      <c r="F4" s="9" t="s">
        <v>50</v>
      </c>
      <c r="G4" s="9" t="s">
        <v>51</v>
      </c>
      <c r="H4" s="9" t="s">
        <v>52</v>
      </c>
      <c r="I4" s="9" t="s">
        <v>53</v>
      </c>
      <c r="J4" s="9" t="s">
        <v>54</v>
      </c>
      <c r="K4" s="9" t="s">
        <v>38</v>
      </c>
      <c r="L4" s="9" t="s">
        <v>55</v>
      </c>
      <c r="M4" s="9" t="s">
        <v>56</v>
      </c>
    </row>
    <row r="5" customFormat="false" ht="60" hidden="false" customHeight="true" outlineLevel="0" collapsed="false">
      <c r="A5" s="11" t="s">
        <v>908</v>
      </c>
      <c r="B5" s="10" t="s">
        <v>909</v>
      </c>
      <c r="C5" s="10" t="s">
        <v>910</v>
      </c>
      <c r="D5" s="15" t="s">
        <v>34</v>
      </c>
      <c r="E5" s="10" t="s">
        <v>60</v>
      </c>
      <c r="F5" s="10" t="s">
        <v>911</v>
      </c>
      <c r="G5" s="10" t="s">
        <v>912</v>
      </c>
      <c r="H5" s="10" t="s">
        <v>913</v>
      </c>
      <c r="I5" s="10" t="s">
        <v>914</v>
      </c>
      <c r="J5" s="10" t="s">
        <v>31</v>
      </c>
      <c r="K5" s="10" t="s">
        <v>43</v>
      </c>
      <c r="L5" s="10"/>
      <c r="M5" s="10"/>
    </row>
    <row r="6" customFormat="false" ht="60" hidden="false" customHeight="true" outlineLevel="0" collapsed="false">
      <c r="A6" s="11" t="s">
        <v>915</v>
      </c>
      <c r="B6" s="10" t="s">
        <v>909</v>
      </c>
      <c r="C6" s="10" t="s">
        <v>916</v>
      </c>
      <c r="D6" s="15" t="s">
        <v>34</v>
      </c>
      <c r="E6" s="10" t="s">
        <v>60</v>
      </c>
      <c r="F6" s="10" t="s">
        <v>917</v>
      </c>
      <c r="G6" s="10" t="s">
        <v>918</v>
      </c>
      <c r="H6" s="10" t="s">
        <v>919</v>
      </c>
      <c r="I6" s="10" t="s">
        <v>920</v>
      </c>
      <c r="J6" s="10" t="s">
        <v>31</v>
      </c>
      <c r="K6" s="17" t="s">
        <v>41</v>
      </c>
      <c r="L6" s="10" t="s">
        <v>323</v>
      </c>
      <c r="M6" s="10" t="s">
        <v>921</v>
      </c>
    </row>
    <row r="7" customFormat="false" ht="60" hidden="false" customHeight="true" outlineLevel="0" collapsed="false">
      <c r="A7" s="11" t="s">
        <v>922</v>
      </c>
      <c r="B7" s="10" t="s">
        <v>909</v>
      </c>
      <c r="C7" s="10" t="s">
        <v>923</v>
      </c>
      <c r="D7" s="15" t="s">
        <v>34</v>
      </c>
      <c r="E7" s="10" t="s">
        <v>60</v>
      </c>
      <c r="F7" s="10" t="s">
        <v>924</v>
      </c>
      <c r="G7" s="10" t="s">
        <v>925</v>
      </c>
      <c r="H7" s="10" t="s">
        <v>926</v>
      </c>
      <c r="I7" s="10" t="s">
        <v>927</v>
      </c>
      <c r="J7" s="10" t="s">
        <v>31</v>
      </c>
      <c r="K7" s="10" t="s">
        <v>43</v>
      </c>
      <c r="L7" s="10"/>
      <c r="M7" s="10"/>
    </row>
    <row r="8" customFormat="false" ht="60" hidden="false" customHeight="true" outlineLevel="0" collapsed="false">
      <c r="A8" s="11" t="s">
        <v>928</v>
      </c>
      <c r="B8" s="10" t="s">
        <v>909</v>
      </c>
      <c r="C8" s="10" t="s">
        <v>929</v>
      </c>
      <c r="D8" s="15" t="s">
        <v>34</v>
      </c>
      <c r="E8" s="10" t="s">
        <v>60</v>
      </c>
      <c r="F8" s="10" t="s">
        <v>930</v>
      </c>
      <c r="G8" s="10" t="s">
        <v>931</v>
      </c>
      <c r="H8" s="10" t="s">
        <v>932</v>
      </c>
      <c r="I8" s="10" t="s">
        <v>933</v>
      </c>
      <c r="J8" s="10" t="s">
        <v>31</v>
      </c>
      <c r="K8" s="10" t="s">
        <v>43</v>
      </c>
      <c r="L8" s="10"/>
      <c r="M8" s="10"/>
    </row>
    <row r="9" customFormat="false" ht="60" hidden="false" customHeight="true" outlineLevel="0" collapsed="false">
      <c r="A9" s="11" t="s">
        <v>934</v>
      </c>
      <c r="B9" s="10" t="s">
        <v>909</v>
      </c>
      <c r="C9" s="10" t="s">
        <v>935</v>
      </c>
      <c r="D9" s="15" t="s">
        <v>34</v>
      </c>
      <c r="E9" s="10" t="s">
        <v>60</v>
      </c>
      <c r="F9" s="10" t="s">
        <v>936</v>
      </c>
      <c r="G9" s="10" t="s">
        <v>937</v>
      </c>
      <c r="H9" s="10" t="s">
        <v>938</v>
      </c>
      <c r="I9" s="10" t="s">
        <v>939</v>
      </c>
      <c r="J9" s="10" t="s">
        <v>31</v>
      </c>
      <c r="K9" s="10" t="s">
        <v>43</v>
      </c>
      <c r="L9" s="10"/>
      <c r="M9" s="10"/>
    </row>
    <row r="10" customFormat="false" ht="60" hidden="false" customHeight="true" outlineLevel="0" collapsed="false">
      <c r="A10" s="11" t="s">
        <v>940</v>
      </c>
      <c r="B10" s="10" t="s">
        <v>909</v>
      </c>
      <c r="C10" s="10" t="s">
        <v>941</v>
      </c>
      <c r="D10" s="20" t="s">
        <v>35</v>
      </c>
      <c r="E10" s="10" t="s">
        <v>178</v>
      </c>
      <c r="F10" s="10" t="s">
        <v>942</v>
      </c>
      <c r="G10" s="10" t="s">
        <v>943</v>
      </c>
      <c r="H10" s="10" t="s">
        <v>944</v>
      </c>
      <c r="I10" s="10" t="s">
        <v>945</v>
      </c>
      <c r="J10" s="10" t="s">
        <v>31</v>
      </c>
      <c r="K10" s="10" t="s">
        <v>43</v>
      </c>
      <c r="L10" s="10"/>
      <c r="M10" s="10"/>
    </row>
    <row r="11" customFormat="false" ht="60" hidden="false" customHeight="true" outlineLevel="0" collapsed="false">
      <c r="A11" s="11" t="s">
        <v>946</v>
      </c>
      <c r="B11" s="10" t="s">
        <v>909</v>
      </c>
      <c r="C11" s="10" t="s">
        <v>947</v>
      </c>
      <c r="D11" s="15" t="s">
        <v>34</v>
      </c>
      <c r="E11" s="10" t="s">
        <v>60</v>
      </c>
      <c r="F11" s="10" t="s">
        <v>948</v>
      </c>
      <c r="G11" s="10" t="s">
        <v>949</v>
      </c>
      <c r="H11" s="10" t="s">
        <v>950</v>
      </c>
      <c r="I11" s="10" t="s">
        <v>951</v>
      </c>
      <c r="J11" s="10" t="s">
        <v>31</v>
      </c>
      <c r="K11" s="10" t="s">
        <v>43</v>
      </c>
      <c r="L11" s="10"/>
      <c r="M11" s="10"/>
    </row>
    <row r="12" customFormat="false" ht="60" hidden="false" customHeight="true" outlineLevel="0" collapsed="false">
      <c r="A12" s="11" t="s">
        <v>952</v>
      </c>
      <c r="B12" s="10" t="s">
        <v>909</v>
      </c>
      <c r="C12" s="10" t="s">
        <v>953</v>
      </c>
      <c r="D12" s="15" t="s">
        <v>34</v>
      </c>
      <c r="E12" s="10" t="s">
        <v>60</v>
      </c>
      <c r="F12" s="10" t="s">
        <v>954</v>
      </c>
      <c r="G12" s="10" t="s">
        <v>955</v>
      </c>
      <c r="H12" s="10" t="s">
        <v>956</v>
      </c>
      <c r="I12" s="10" t="s">
        <v>957</v>
      </c>
      <c r="J12" s="10" t="s">
        <v>31</v>
      </c>
      <c r="K12" s="10" t="s">
        <v>43</v>
      </c>
      <c r="L12" s="10"/>
      <c r="M12" s="10"/>
    </row>
    <row r="13" customFormat="false" ht="60" hidden="false" customHeight="true" outlineLevel="0" collapsed="false">
      <c r="A13" s="11" t="s">
        <v>958</v>
      </c>
      <c r="B13" s="10" t="s">
        <v>909</v>
      </c>
      <c r="C13" s="10" t="s">
        <v>959</v>
      </c>
      <c r="D13" s="15" t="s">
        <v>34</v>
      </c>
      <c r="E13" s="10" t="s">
        <v>178</v>
      </c>
      <c r="F13" s="10" t="s">
        <v>960</v>
      </c>
      <c r="G13" s="10" t="s">
        <v>961</v>
      </c>
      <c r="H13" s="10" t="s">
        <v>962</v>
      </c>
      <c r="I13" s="10" t="s">
        <v>963</v>
      </c>
      <c r="J13" s="10" t="s">
        <v>31</v>
      </c>
      <c r="K13" s="10" t="s">
        <v>43</v>
      </c>
      <c r="L13" s="10"/>
      <c r="M13" s="10"/>
    </row>
    <row r="14" customFormat="false" ht="60" hidden="false" customHeight="true" outlineLevel="0" collapsed="false">
      <c r="A14" s="11" t="s">
        <v>964</v>
      </c>
      <c r="B14" s="10" t="s">
        <v>909</v>
      </c>
      <c r="C14" s="10" t="s">
        <v>965</v>
      </c>
      <c r="D14" s="15" t="s">
        <v>34</v>
      </c>
      <c r="E14" s="10" t="s">
        <v>60</v>
      </c>
      <c r="F14" s="10" t="s">
        <v>966</v>
      </c>
      <c r="G14" s="10" t="s">
        <v>967</v>
      </c>
      <c r="H14" s="10" t="s">
        <v>968</v>
      </c>
      <c r="I14" s="10" t="s">
        <v>969</v>
      </c>
      <c r="J14" s="10" t="s">
        <v>31</v>
      </c>
      <c r="K14" s="10" t="s">
        <v>43</v>
      </c>
      <c r="L14" s="10"/>
      <c r="M14" s="10"/>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2026-09-05T11:39:52Z</dcterms:created>
  <dc:creator>openpyxl</dc:creator>
  <dc:description/>
  <dc:language>en-US</dc:language>
  <cp:lastModifiedBy/>
  <dcterms:modified xsi:type="dcterms:W3CDTF">2026-09-05T11:39:52Z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